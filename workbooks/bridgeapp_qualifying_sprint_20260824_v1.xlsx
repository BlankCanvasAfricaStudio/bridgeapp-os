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Owners" sheetId="2" state="visible" r:id="rId2"/>
    <sheet name="02_Baselines" sheetId="3" state="visible" r:id="rId3"/>
    <sheet name="03_Sprint_Drivers" sheetId="4" state="visible" r:id="rId4"/>
    <sheet name="04_Sprint_Plan" sheetId="5" state="visible" r:id="rId5"/>
    <sheet name="05_Daily_Log" sheetId="6" state="visible" r:id="rId6"/>
    <sheet name="06_GE1_Paid_Media" sheetId="7" state="visible" r:id="rId7"/>
    <sheet name="07_GE2_School_Outreach" sheetId="8" state="visible" r:id="rId8"/>
    <sheet name="08_School_Visits" sheetId="9" state="visible" r:id="rId9"/>
    <sheet name="09_UTM_Register" sheetId="10" state="visible" r:id="rId10"/>
    <sheet name="10_KPIs" sheetId="11" state="visible" r:id="rId11"/>
    <sheet name="11_Go_No_G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R&quot;#,##0.00;(&quot;R&quot;#,##0.00);\-"/>
    <numFmt numFmtId="165" formatCode="#,##0;(#,##0);\-"/>
    <numFmt numFmtId="166" formatCode="0.0%"/>
    <numFmt numFmtId="167" formatCode="0.0"/>
    <numFmt numFmtId="168" formatCode="ddd dd mmm"/>
    <numFmt numFmtId="169" formatCode="&quot;R&quot;#,##0;(&quot;R&quot;#,##0);\-"/>
    <numFmt numFmtId="170" formatCode="+#,##0;-#,##0;0"/>
  </numFmts>
  <fonts count="15">
    <font>
      <name val="Calibri"/>
      <family val="2"/>
      <color theme="1"/>
      <sz val="11"/>
      <scheme val="minor"/>
    </font>
    <font>
      <name val="Arial"/>
      <b val="1"/>
      <color rgb="FF0F2A4A"/>
      <sz val="20"/>
    </font>
    <font>
      <name val="Arial"/>
      <i val="1"/>
      <color rgb="FF475569"/>
      <sz val="9"/>
    </font>
    <font>
      <name val="Arial"/>
      <b val="1"/>
      <color rgb="FFFFFFFF"/>
      <sz val="11"/>
    </font>
    <font>
      <name val="Arial"/>
      <b val="1"/>
      <color rgb="FF0B1220"/>
      <sz val="10"/>
    </font>
    <font>
      <name val="Arial"/>
      <color rgb="FF0B1220"/>
      <sz val="10"/>
    </font>
    <font>
      <name val="Arial"/>
      <b val="1"/>
      <color rgb="FF4A90D9"/>
      <sz val="10"/>
    </font>
    <font>
      <name val="Arial"/>
      <b val="1"/>
      <color rgb="FF0000FF"/>
      <sz val="10"/>
    </font>
    <font>
      <name val="Arial"/>
      <b val="1"/>
      <color rgb="FFFFFFFF"/>
      <sz val="10"/>
    </font>
    <font>
      <name val="Arial"/>
      <color rgb="FF475569"/>
      <sz val="10"/>
    </font>
    <font>
      <name val="Arial"/>
      <b val="1"/>
      <color rgb="FF15803D"/>
      <sz val="10"/>
    </font>
    <font>
      <name val="Arial"/>
      <b val="1"/>
      <color rgb="FFF97316"/>
      <sz val="10"/>
    </font>
    <font>
      <name val="Arial"/>
      <b val="1"/>
      <color rgb="FF0F2A4A"/>
      <sz val="10"/>
    </font>
    <font>
      <name val="Arial"/>
      <b val="1"/>
      <color rgb="FFFBBF24"/>
      <sz val="10"/>
    </font>
    <font>
      <name val="Arial"/>
      <color rgb="FF0B1220"/>
      <sz val="9"/>
    </font>
  </fonts>
  <fills count="9">
    <fill>
      <patternFill/>
    </fill>
    <fill>
      <patternFill patternType="gray125"/>
    </fill>
    <fill>
      <patternFill patternType="solid">
        <fgColor rgb="FF0F2A4A"/>
      </patternFill>
    </fill>
    <fill>
      <patternFill patternType="solid">
        <fgColor rgb="FFFFFF00"/>
      </patternFill>
    </fill>
    <fill>
      <patternFill patternType="solid">
        <fgColor rgb="FFFEE9D6"/>
      </patternFill>
    </fill>
    <fill>
      <patternFill patternType="solid">
        <fgColor rgb="FF1E3A5F"/>
      </patternFill>
    </fill>
    <fill>
      <patternFill patternType="solid">
        <fgColor rgb="FFEEF2F7"/>
      </patternFill>
    </fill>
    <fill>
      <patternFill patternType="solid">
        <fgColor rgb="FFFEF7E7"/>
      </patternFill>
    </fill>
    <fill>
      <patternFill patternType="solid">
        <fgColor rgb="FFE6F0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3" borderId="0" pivotButton="0" quotePrefix="0" xfId="0"/>
    <xf numFmtId="0" fontId="7" fillId="0" borderId="0" pivotButton="0" quotePrefix="0" xfId="0"/>
    <xf numFmtId="0" fontId="4" fillId="4" borderId="0" pivotButton="0" quotePrefix="0" xfId="0"/>
    <xf numFmtId="0" fontId="8" fillId="5" borderId="0" applyAlignment="1" pivotButton="0" quotePrefix="0" xfId="0">
      <alignment vertical="center" wrapText="1"/>
    </xf>
    <xf numFmtId="0" fontId="7" fillId="3" borderId="0" pivotButton="0" quotePrefix="0" xfId="0"/>
    <xf numFmtId="0" fontId="9" fillId="0" borderId="0" pivotButton="0" quotePrefix="0" xfId="0"/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164" fontId="4" fillId="6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7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5" fillId="0" borderId="0" applyAlignment="1" pivotButton="0" quotePrefix="0" xfId="0">
      <alignment vertical="top" wrapText="1"/>
    </xf>
    <xf numFmtId="0" fontId="11" fillId="0" borderId="0" pivotButton="0" quotePrefix="0" xfId="0"/>
    <xf numFmtId="168" fontId="7" fillId="3" borderId="0" applyAlignment="1" pivotButton="0" quotePrefix="0" xfId="0">
      <alignment horizontal="right" vertical="center"/>
    </xf>
    <xf numFmtId="165" fontId="4" fillId="6" borderId="0" applyAlignment="1" pivotButton="0" quotePrefix="0" xfId="0">
      <alignment horizontal="right" vertical="center"/>
    </xf>
    <xf numFmtId="169" fontId="7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6" fontId="7" fillId="3" borderId="0" applyAlignment="1" pivotButton="0" quotePrefix="0" xfId="0">
      <alignment horizontal="right" vertical="center"/>
    </xf>
    <xf numFmtId="166" fontId="4" fillId="6" borderId="0" applyAlignment="1" pivotButton="0" quotePrefix="0" xfId="0">
      <alignment horizontal="right" vertical="center"/>
    </xf>
    <xf numFmtId="167" fontId="4" fillId="6" borderId="0" applyAlignment="1" pivotButton="0" quotePrefix="0" xfId="0">
      <alignment horizontal="right" vertical="center"/>
    </xf>
    <xf numFmtId="169" fontId="4" fillId="6" borderId="0" applyAlignment="1" pivotButton="0" quotePrefix="0" xfId="0">
      <alignment horizontal="right" vertical="center"/>
    </xf>
    <xf numFmtId="166" fontId="12" fillId="0" borderId="0" applyAlignment="1" pivotButton="0" quotePrefix="0" xfId="0">
      <alignment horizontal="right" vertical="center"/>
    </xf>
    <xf numFmtId="0" fontId="5" fillId="4" borderId="0" pivotButton="0" quotePrefix="0" xfId="0"/>
    <xf numFmtId="0" fontId="9" fillId="4" borderId="0" applyAlignment="1" pivotButton="0" quotePrefix="0" xfId="0">
      <alignment vertical="top" wrapText="1"/>
    </xf>
    <xf numFmtId="168" fontId="7" fillId="3" borderId="0" applyAlignment="1" pivotButton="0" quotePrefix="0" xfId="0">
      <alignment horizontal="right" vertical="center"/>
    </xf>
    <xf numFmtId="169" fontId="7" fillId="3" borderId="0" applyAlignment="1" pivotButton="0" quotePrefix="0" xfId="0">
      <alignment horizontal="right" vertical="center"/>
    </xf>
    <xf numFmtId="169" fontId="4" fillId="6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168" fontId="4" fillId="0" borderId="0" pivotButton="0" quotePrefix="0" xfId="0"/>
    <xf numFmtId="0" fontId="4" fillId="7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5" fontId="4" fillId="6" borderId="0" pivotButton="0" quotePrefix="0" xfId="0"/>
    <xf numFmtId="165" fontId="9" fillId="6" borderId="0" pivotButton="0" quotePrefix="0" xfId="0"/>
    <xf numFmtId="170" fontId="4" fillId="6" borderId="0" pivotButton="0" quotePrefix="0" xfId="0"/>
    <xf numFmtId="0" fontId="3" fillId="2" borderId="0" pivotButton="0" quotePrefix="0" xfId="0"/>
    <xf numFmtId="169" fontId="8" fillId="2" borderId="0" applyAlignment="1" pivotButton="0" quotePrefix="0" xfId="0">
      <alignment horizontal="right" vertical="center"/>
    </xf>
    <xf numFmtId="165" fontId="8" fillId="2" borderId="0" applyAlignment="1" pivotButton="0" quotePrefix="0" xfId="0">
      <alignment horizontal="right" vertical="center"/>
    </xf>
    <xf numFmtId="170" fontId="13" fillId="2" borderId="0" applyAlignment="1" pivotButton="0" quotePrefix="0" xfId="0">
      <alignment horizontal="right" vertical="center"/>
    </xf>
    <xf numFmtId="0" fontId="2" fillId="7" borderId="0" applyAlignment="1" pivotButton="0" quotePrefix="0" xfId="0">
      <alignment vertical="top"/>
    </xf>
    <xf numFmtId="0" fontId="2" fillId="7" borderId="0" applyAlignment="1" pivotButton="0" quotePrefix="0" xfId="0">
      <alignment horizontal="right" vertical="center"/>
    </xf>
    <xf numFmtId="170" fontId="4" fillId="6" borderId="0" pivotButton="0" quotePrefix="0" xfId="0"/>
    <xf numFmtId="170" fontId="13" fillId="2" borderId="0" applyAlignment="1" pivotButton="0" quotePrefix="0" xfId="0">
      <alignment horizontal="right" vertical="center"/>
    </xf>
    <xf numFmtId="169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2" fontId="4" fillId="6" borderId="0" applyAlignment="1" pivotButton="0" quotePrefix="0" xfId="0">
      <alignment horizontal="right" vertical="center"/>
    </xf>
    <xf numFmtId="0" fontId="14" fillId="6" borderId="0" pivotButton="0" quotePrefix="0" xfId="0"/>
    <xf numFmtId="168" fontId="7" fillId="3" borderId="0" pivotButton="0" quotePrefix="0" xfId="0"/>
    <xf numFmtId="169" fontId="12" fillId="0" borderId="0" applyAlignment="1" pivotButton="0" quotePrefix="0" xfId="0">
      <alignment horizontal="right" vertical="center"/>
    </xf>
    <xf numFmtId="169" fontId="11" fillId="0" borderId="0" applyAlignment="1" pivotButton="0" quotePrefix="0" xfId="0">
      <alignment horizontal="right" vertical="center"/>
    </xf>
    <xf numFmtId="165" fontId="12" fillId="0" borderId="0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6" fontId="11" fillId="0" borderId="0" applyAlignment="1" pivotButton="0" quotePrefix="0" xfId="0">
      <alignment horizontal="right" vertical="center"/>
    </xf>
    <xf numFmtId="167" fontId="12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3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2" customWidth="1" min="3" max="3"/>
  </cols>
  <sheetData>
    <row r="2" ht="27" customHeight="1">
      <c r="B2" s="1" t="inlineStr">
        <is>
          <t>BRIDGEAPP: QUALIFYING SPRINT</t>
        </is>
      </c>
    </row>
    <row r="3" ht="13" customHeight="1">
      <c r="B3" s="2" t="inlineStr">
        <is>
          <t>14 days, Mon 24 Aug to Sun 6 Sep 2026. Purpose: establish the real cost per sale on both growth engines before committing the full budget.</t>
        </is>
      </c>
    </row>
    <row r="5" ht="20" customHeight="1">
      <c r="B5" s="3" t="inlineStr">
        <is>
          <t>How this workbook is used</t>
        </is>
      </c>
      <c r="C5" s="4" t="n"/>
    </row>
    <row r="6">
      <c r="B6" s="5" t="inlineStr">
        <is>
          <t>Every morning</t>
        </is>
      </c>
      <c r="C6" s="6" t="inlineStr">
        <is>
          <t>The named owner fills yesterday's row in 05_Daily_Log. Yellow cells are the only cells anyone types into.</t>
        </is>
      </c>
    </row>
    <row r="7">
      <c r="B7" s="5" t="inlineStr">
        <is>
          <t>Every Monday</t>
        </is>
      </c>
      <c r="C7" s="6" t="inlineStr">
        <is>
          <t>10_KPIs is read at stand-up. Any KPI on its trigger is discussed before anything else.</t>
        </is>
      </c>
    </row>
    <row r="8">
      <c r="B8" s="5" t="inlineStr">
        <is>
          <t>Day 14 (6 Sep)</t>
        </is>
      </c>
      <c r="C8" s="6" t="inlineStr">
        <is>
          <t>11_Go_No_Go is completed. That sheet decides whether the full budget is released, held, or re-cut.</t>
        </is>
      </c>
    </row>
    <row r="9">
      <c r="B9" s="5" t="inlineStr">
        <is>
          <t>Never</t>
        </is>
      </c>
      <c r="C9" s="6" t="inlineStr">
        <is>
          <t>Do not type over a black cell. Black cells are formulas and will stop calculating.</t>
        </is>
      </c>
    </row>
    <row r="11" ht="20" customHeight="1">
      <c r="B11" s="3" t="inlineStr">
        <is>
          <t>Sheet guide</t>
        </is>
      </c>
      <c r="C11" s="4" t="n"/>
    </row>
    <row r="12">
      <c r="B12" s="7" t="inlineStr">
        <is>
          <t>00_README</t>
        </is>
      </c>
      <c r="C12" s="6" t="inlineStr">
        <is>
          <t>This sheet.</t>
        </is>
      </c>
    </row>
    <row r="13">
      <c r="B13" s="7" t="inlineStr">
        <is>
          <t>01_Owners</t>
        </is>
      </c>
      <c r="C13" s="6" t="inlineStr">
        <is>
          <t>Named owner per sheet and per decision. Fill the Named Person column before day 1.</t>
        </is>
      </c>
    </row>
    <row r="14">
      <c r="B14" s="7" t="inlineStr">
        <is>
          <t>02_Baselines</t>
        </is>
      </c>
      <c r="C14" s="6" t="inlineStr">
        <is>
          <t>Real reported figures from Meta, Instagram, Facebook and TikTok. The only hard numbers the campaign holds.</t>
        </is>
      </c>
    </row>
    <row r="15">
      <c r="B15" s="7" t="inlineStr">
        <is>
          <t>03_Sprint_Drivers</t>
        </is>
      </c>
      <c r="C15" s="6" t="inlineStr">
        <is>
          <t>Every assumption in one place. Change a yellow cell here and the whole workbook recalculates.</t>
        </is>
      </c>
    </row>
    <row r="16">
      <c r="B16" s="7" t="inlineStr">
        <is>
          <t>04_Sprint_Plan</t>
        </is>
      </c>
      <c r="C16" s="6" t="inlineStr">
        <is>
          <t>The 14 days, day by day. GE tag, deliverable, owner, due, status.</t>
        </is>
      </c>
    </row>
    <row r="17">
      <c r="B17" s="7" t="inlineStr">
        <is>
          <t>05_Daily_Log</t>
        </is>
      </c>
      <c r="C17" s="6" t="inlineStr">
        <is>
          <t>The data entry sheet. Everything else in this workbook reads from it.</t>
        </is>
      </c>
    </row>
    <row r="18">
      <c r="B18" s="7" t="inlineStr">
        <is>
          <t>06_GE1_Paid_Media</t>
        </is>
      </c>
      <c r="C18" s="6" t="inlineStr">
        <is>
          <t>Paid media engine. Spend, clicks, signups, sales, cost per sale. Reads 05_Daily_Log.</t>
        </is>
      </c>
    </row>
    <row r="19">
      <c r="B19" s="7" t="inlineStr">
        <is>
          <t>07_GE2_School_Outreach</t>
        </is>
      </c>
      <c r="C19" s="6" t="inlineStr">
        <is>
          <t>School outreach engine. Visits, calls, signups captured, sales. Reads 05_Daily_Log.</t>
        </is>
      </c>
    </row>
    <row r="20">
      <c r="B20" s="7" t="inlineStr">
        <is>
          <t>08_School_Visits</t>
        </is>
      </c>
      <c r="C20" s="6" t="inlineStr">
        <is>
          <t>The visit schedule for these 14 days, and the result of each visit.</t>
        </is>
      </c>
    </row>
    <row r="21">
      <c r="B21" s="7" t="inlineStr">
        <is>
          <t>09_UTM_Register</t>
        </is>
      </c>
      <c r="C21" s="6" t="inlineStr">
        <is>
          <t>Every tagged link used in the sprint. A link that is not on this sheet does not get counted.</t>
        </is>
      </c>
    </row>
    <row r="22">
      <c r="B22" s="7" t="inlineStr">
        <is>
          <t>10_KPIs</t>
        </is>
      </c>
      <c r="C22" s="6" t="inlineStr">
        <is>
          <t>Live dashboard by engine. Current pulls from 05_Daily_Log. Target and Trigger are fixed.</t>
        </is>
      </c>
    </row>
    <row r="23">
      <c r="B23" s="7" t="inlineStr">
        <is>
          <t>11_Go_No_Go</t>
        </is>
      </c>
      <c r="C23" s="6" t="inlineStr">
        <is>
          <t>The day 14 decision gate, with the thresholds written before the sprint starts.</t>
        </is>
      </c>
    </row>
    <row r="25" ht="20" customHeight="1">
      <c r="B25" s="3" t="inlineStr">
        <is>
          <t>Colour legend</t>
        </is>
      </c>
      <c r="C25" s="4" t="n"/>
    </row>
    <row r="26">
      <c r="B26" s="8" t="inlineStr">
        <is>
          <t>Yellow fill</t>
        </is>
      </c>
      <c r="C26" s="6" t="inlineStr">
        <is>
          <t>An input. Type here. These are the only cells that should ever be edited.</t>
        </is>
      </c>
    </row>
    <row r="27">
      <c r="B27" s="9" t="inlineStr">
        <is>
          <t>Blue bold text</t>
        </is>
      </c>
      <c r="C27" s="6" t="inlineStr">
        <is>
          <t>A number that was typed in, not calculated. Change it in 03_Sprint_Drivers only.</t>
        </is>
      </c>
    </row>
    <row r="28">
      <c r="B28" s="5" t="inlineStr">
        <is>
          <t>Black text</t>
        </is>
      </c>
      <c r="C28" s="6" t="inlineStr">
        <is>
          <t>A formula. Do not overwrite.</t>
        </is>
      </c>
    </row>
    <row r="29">
      <c r="B29" s="10" t="inlineStr">
        <is>
          <t>Orange fill</t>
        </is>
      </c>
      <c r="C29" s="6" t="inlineStr">
        <is>
          <t>Blocked on someone outside this team. Named in the row.</t>
        </is>
      </c>
    </row>
    <row r="31">
      <c r="B31" s="2" t="inlineStr">
        <is>
          <t>Source for all pre-filled targets and budget lines: BridgeApp Phase 2 Operating Workbook v4 (May 2026), sheets 02_Budget_Master, 03_Calendar_Phase2, 04_GE1_Tracker, 05_GE2_Tracker, 09_KPIs_By_GE.</t>
        </is>
      </c>
    </row>
    <row r="32">
      <c r="B32" s="2" t="inlineStr">
        <is>
          <t>Source for the 40 000 by 30 Nov 2026 target and the 15 week pace: campaign brief, Blank Canvas.</t>
        </is>
      </c>
    </row>
    <row r="33">
      <c r="B33" s="2" t="inlineStr">
        <is>
          <t>Sales in this sprint are counted from the Peach transaction export reconciled against the ledger. GA4 cannot attribute a sale until the purchase event is installed. See 03_Sprint_Drivers row 24.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9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4" customWidth="1" min="3" max="3"/>
    <col width="22" customWidth="1" min="4" max="4"/>
    <col width="34" customWidth="1" min="5" max="5"/>
  </cols>
  <sheetData>
    <row r="2" ht="27" customHeight="1">
      <c r="B2" s="1" t="inlineStr">
        <is>
          <t>OWNERS</t>
        </is>
      </c>
    </row>
    <row r="3" ht="13" customHeight="1">
      <c r="B3" s="2" t="inlineStr">
        <is>
          <t>One name per sheet. Fill the yellow Named Person column before day 1. An unowned sheet does not get filled in.</t>
        </is>
      </c>
    </row>
    <row r="5" ht="20" customHeight="1">
      <c r="B5" s="3" t="inlineStr">
        <is>
          <t>Sheet ownership</t>
        </is>
      </c>
      <c r="C5" s="4" t="n"/>
      <c r="D5" s="4" t="n"/>
      <c r="E5" s="4" t="n"/>
    </row>
    <row r="6" ht="26" customHeight="1">
      <c r="B6" s="11" t="inlineStr">
        <is>
          <t>Sheet / workstream</t>
        </is>
      </c>
      <c r="C6" s="11" t="inlineStr">
        <is>
          <t>Owner role</t>
        </is>
      </c>
      <c r="D6" s="11" t="inlineStr">
        <is>
          <t>Named person</t>
        </is>
      </c>
      <c r="E6" s="11" t="inlineStr">
        <is>
          <t>Cadence</t>
        </is>
      </c>
    </row>
    <row r="7">
      <c r="B7" s="6" t="inlineStr">
        <is>
          <t>03_Sprint_Drivers</t>
        </is>
      </c>
      <c r="C7" s="6" t="inlineStr">
        <is>
          <t>Campaign Lead</t>
        </is>
      </c>
      <c r="D7" s="12" t="inlineStr">
        <is>
          <t>TBC</t>
        </is>
      </c>
      <c r="E7" s="13" t="inlineStr">
        <is>
          <t>Weekly, Monday</t>
        </is>
      </c>
    </row>
    <row r="8">
      <c r="B8" s="6" t="inlineStr">
        <is>
          <t>04_Sprint_Plan</t>
        </is>
      </c>
      <c r="C8" s="6" t="inlineStr">
        <is>
          <t>Campaign Lead</t>
        </is>
      </c>
      <c r="D8" s="12" t="inlineStr">
        <is>
          <t>TBC</t>
        </is>
      </c>
      <c r="E8" s="13" t="inlineStr">
        <is>
          <t>Daily</t>
        </is>
      </c>
    </row>
    <row r="9">
      <c r="B9" s="6" t="inlineStr">
        <is>
          <t>05_Daily_Log (GE1 columns)</t>
        </is>
      </c>
      <c r="C9" s="6" t="inlineStr">
        <is>
          <t>Performance Marketer</t>
        </is>
      </c>
      <c r="D9" s="12" t="inlineStr">
        <is>
          <t>TBC</t>
        </is>
      </c>
      <c r="E9" s="13" t="inlineStr">
        <is>
          <t>Daily by 09:00</t>
        </is>
      </c>
    </row>
    <row r="10">
      <c r="B10" s="6" t="inlineStr">
        <is>
          <t>05_Daily_Log (GE2 columns)</t>
        </is>
      </c>
      <c r="C10" s="6" t="inlineStr">
        <is>
          <t>Schools Coordinator</t>
        </is>
      </c>
      <c r="D10" s="12" t="inlineStr">
        <is>
          <t>TBC</t>
        </is>
      </c>
      <c r="E10" s="13" t="inlineStr">
        <is>
          <t>Same day as visit</t>
        </is>
      </c>
    </row>
    <row r="11">
      <c r="B11" s="6" t="inlineStr">
        <is>
          <t>06_GE1_Paid_Media</t>
        </is>
      </c>
      <c r="C11" s="6" t="inlineStr">
        <is>
          <t>Performance Marketer</t>
        </is>
      </c>
      <c r="D11" s="12" t="inlineStr">
        <is>
          <t>TBC</t>
        </is>
      </c>
      <c r="E11" s="13" t="inlineStr">
        <is>
          <t>Daily</t>
        </is>
      </c>
    </row>
    <row r="12">
      <c r="B12" s="6" t="inlineStr">
        <is>
          <t>07_GE2_School_Outreach</t>
        </is>
      </c>
      <c r="C12" s="6" t="inlineStr">
        <is>
          <t>Schools Coordinator</t>
        </is>
      </c>
      <c r="D12" s="12" t="inlineStr">
        <is>
          <t>TBC</t>
        </is>
      </c>
      <c r="E12" s="13" t="inlineStr">
        <is>
          <t>Daily</t>
        </is>
      </c>
    </row>
    <row r="13">
      <c r="B13" s="6" t="inlineStr">
        <is>
          <t>08_School_Visits</t>
        </is>
      </c>
      <c r="C13" s="6" t="inlineStr">
        <is>
          <t>Schools Coordinator</t>
        </is>
      </c>
      <c r="D13" s="12" t="inlineStr">
        <is>
          <t>TBC</t>
        </is>
      </c>
      <c r="E13" s="13" t="inlineStr">
        <is>
          <t>Same day as visit</t>
        </is>
      </c>
    </row>
    <row r="14">
      <c r="B14" s="6" t="inlineStr">
        <is>
          <t>09_UTM_Register</t>
        </is>
      </c>
      <c r="C14" s="6" t="inlineStr">
        <is>
          <t>Performance Marketer</t>
        </is>
      </c>
      <c r="D14" s="12" t="inlineStr">
        <is>
          <t>TBC</t>
        </is>
      </c>
      <c r="E14" s="13" t="inlineStr">
        <is>
          <t>Before any link goes live</t>
        </is>
      </c>
    </row>
    <row r="15">
      <c r="B15" s="6" t="inlineStr">
        <is>
          <t>10_KPIs</t>
        </is>
      </c>
      <c r="C15" s="6" t="inlineStr">
        <is>
          <t>Campaign Lead</t>
        </is>
      </c>
      <c r="D15" s="12" t="inlineStr">
        <is>
          <t>TBC</t>
        </is>
      </c>
      <c r="E15" s="13" t="inlineStr">
        <is>
          <t>Weekly, Monday stand-up</t>
        </is>
      </c>
    </row>
    <row r="16">
      <c r="B16" s="6" t="inlineStr">
        <is>
          <t>11_Go_No_Go</t>
        </is>
      </c>
      <c r="C16" s="6" t="inlineStr">
        <is>
          <t>Campaign Lead</t>
        </is>
      </c>
      <c r="D16" s="12" t="inlineStr">
        <is>
          <t>TBC</t>
        </is>
      </c>
      <c r="E16" s="13" t="inlineStr">
        <is>
          <t>Once, day 14</t>
        </is>
      </c>
    </row>
    <row r="17">
      <c r="B17" s="6" t="inlineStr">
        <is>
          <t>Peach reconciliation to ledger</t>
        </is>
      </c>
      <c r="C17" s="6" t="inlineStr">
        <is>
          <t>Campaign Lead</t>
        </is>
      </c>
      <c r="D17" s="12" t="inlineStr">
        <is>
          <t>TBC</t>
        </is>
      </c>
      <c r="E17" s="13" t="inlineStr">
        <is>
          <t>Daily by 09:00</t>
        </is>
      </c>
    </row>
    <row r="18">
      <c r="B18" s="6" t="inlineStr">
        <is>
          <t>Creative for paid + school assets</t>
        </is>
      </c>
      <c r="C18" s="6" t="inlineStr">
        <is>
          <t>Designer</t>
        </is>
      </c>
      <c r="D18" s="12" t="inlineStr">
        <is>
          <t>TBC</t>
        </is>
      </c>
      <c r="E18" s="13" t="inlineStr">
        <is>
          <t>Per brief</t>
        </is>
      </c>
    </row>
    <row r="19">
      <c r="B19" s="6" t="inlineStr">
        <is>
          <t>Organic content in support of sprint</t>
        </is>
      </c>
      <c r="C19" s="6" t="inlineStr">
        <is>
          <t>Content Producer</t>
        </is>
      </c>
      <c r="D19" s="12" t="inlineStr">
        <is>
          <t>TBC</t>
        </is>
      </c>
      <c r="E19" s="13" t="inlineStr">
        <is>
          <t>Daily</t>
        </is>
      </c>
    </row>
    <row r="21" ht="20" customHeight="1">
      <c r="B21" s="3" t="inlineStr">
        <is>
          <t>Decision authority for these 14 days</t>
        </is>
      </c>
      <c r="C21" s="4" t="n"/>
      <c r="D21" s="4" t="n"/>
      <c r="E21" s="4" t="n"/>
    </row>
    <row r="22" ht="26" customHeight="1">
      <c r="B22" s="11" t="inlineStr">
        <is>
          <t>Decision</t>
        </is>
      </c>
      <c r="C22" s="11" t="inlineStr">
        <is>
          <t>Approver</t>
        </is>
      </c>
      <c r="D22" s="11" t="inlineStr">
        <is>
          <t>Escalation</t>
        </is>
      </c>
      <c r="E22" s="11" t="inlineStr">
        <is>
          <t>Notes</t>
        </is>
      </c>
    </row>
    <row r="23">
      <c r="B23" s="6" t="inlineStr">
        <is>
          <t>Move spend between GE1 and GE2</t>
        </is>
      </c>
      <c r="C23" s="5" t="inlineStr">
        <is>
          <t>Campaign Lead</t>
        </is>
      </c>
      <c r="D23" s="6" t="inlineStr">
        <is>
          <t>MD</t>
        </is>
      </c>
      <c r="E23" s="13" t="inlineStr">
        <is>
          <t>Inside the sprint cap only</t>
        </is>
      </c>
    </row>
    <row r="24">
      <c r="B24" s="6" t="inlineStr">
        <is>
          <t>Any spend above the sprint cap</t>
        </is>
      </c>
      <c r="C24" s="5" t="inlineStr">
        <is>
          <t>MD</t>
        </is>
      </c>
      <c r="D24" s="6" t="inlineStr">
        <is>
          <t>Founders</t>
        </is>
      </c>
      <c r="E24" s="13" t="inlineStr">
        <is>
          <t>Pre approval, in writing</t>
        </is>
      </c>
    </row>
    <row r="25">
      <c r="B25" s="6" t="inlineStr">
        <is>
          <t>Pause a channel mid sprint</t>
        </is>
      </c>
      <c r="C25" s="5" t="inlineStr">
        <is>
          <t>Performance Marketer</t>
        </is>
      </c>
      <c r="D25" s="6" t="inlineStr">
        <is>
          <t>Campaign Lead</t>
        </is>
      </c>
      <c r="E25" s="13" t="inlineStr">
        <is>
          <t>Same day if cost per sale doubles target</t>
        </is>
      </c>
    </row>
    <row r="26">
      <c r="B26" s="6" t="inlineStr">
        <is>
          <t>Add or drop a school visit</t>
        </is>
      </c>
      <c r="C26" s="5" t="inlineStr">
        <is>
          <t>Schools Coordinator</t>
        </is>
      </c>
      <c r="D26" s="6" t="inlineStr">
        <is>
          <t>Campaign Lead</t>
        </is>
      </c>
      <c r="E26" s="13" t="inlineStr">
        <is>
          <t>Log the reason in 08_School_Visits</t>
        </is>
      </c>
    </row>
    <row r="27">
      <c r="B27" s="6" t="inlineStr">
        <is>
          <t>Publish a link without a UTM</t>
        </is>
      </c>
      <c r="C27" s="5" t="inlineStr">
        <is>
          <t>Not permitted</t>
        </is>
      </c>
      <c r="D27" s="6" t="inlineStr">
        <is>
          <t>Campaign Lead</t>
        </is>
      </c>
      <c r="E27" s="13" t="inlineStr">
        <is>
          <t>Untagged traffic cannot be counted</t>
        </is>
      </c>
    </row>
    <row r="28">
      <c r="B28" s="6" t="inlineStr">
        <is>
          <t>Change a driver in 03_Sprint_Drivers</t>
        </is>
      </c>
      <c r="C28" s="5" t="inlineStr">
        <is>
          <t>Campaign Lead</t>
        </is>
      </c>
      <c r="D28" s="6" t="inlineStr">
        <is>
          <t>MD</t>
        </is>
      </c>
      <c r="E28" s="13" t="inlineStr">
        <is>
          <t>Note the date and reason in the row</t>
        </is>
      </c>
    </row>
    <row r="29">
      <c r="B29" s="6" t="inlineStr">
        <is>
          <t>Day 14 go or no go</t>
        </is>
      </c>
      <c r="C29" s="5" t="inlineStr">
        <is>
          <t>MD</t>
        </is>
      </c>
      <c r="D29" s="6" t="inlineStr">
        <is>
          <t>Founders</t>
        </is>
      </c>
      <c r="E29" s="13" t="inlineStr">
        <is>
          <t>On the evidence in 11_Go_No_Go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81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3" customWidth="1" min="4" max="4"/>
    <col width="58" customWidth="1" min="5" max="5"/>
  </cols>
  <sheetData>
    <row r="2" ht="27" customHeight="1">
      <c r="B2" s="1" t="inlineStr">
        <is>
          <t>BASELINES: WHAT THE PLATFORMS ALREADY TELL US</t>
        </is>
      </c>
    </row>
    <row r="3" ht="13" customHeight="1">
      <c r="B3" s="2" t="inlineStr">
        <is>
          <t>Real reported figures, not estimates. Every driver on 03_Sprint_Drivers that can be grounded in one of these is grounded in it.</t>
        </is>
      </c>
    </row>
    <row r="5" ht="20" customHeight="1">
      <c r="B5" s="3" t="inlineStr">
        <is>
          <t>Paid: Meta boosted post, 29 July to 5 August 2026, 8 days</t>
        </is>
      </c>
      <c r="C5" s="4" t="n"/>
      <c r="D5" s="4" t="n"/>
      <c r="E5" s="4" t="n"/>
    </row>
    <row r="6" ht="26" customHeight="1">
      <c r="B6" s="11" t="inlineStr">
        <is>
          <t>Reported figure</t>
        </is>
      </c>
      <c r="C6" s="11" t="inlineStr">
        <is>
          <t>Value</t>
        </is>
      </c>
      <c r="D6" s="11" t="inlineStr"/>
      <c r="E6" s="11" t="inlineStr">
        <is>
          <t>Source</t>
        </is>
      </c>
    </row>
    <row r="7">
      <c r="B7" s="6" t="inlineStr">
        <is>
          <t>Spend</t>
        </is>
      </c>
      <c r="C7" s="14" t="n">
        <v>1617.57</v>
      </c>
      <c r="E7" s="2" t="inlineStr">
        <is>
          <t>Meta Ad insights, boosted Instagram post, screenshot 20 Aug 2026.</t>
        </is>
      </c>
    </row>
    <row r="8">
      <c r="B8" s="6" t="inlineStr">
        <is>
          <t>Daily budget</t>
        </is>
      </c>
      <c r="C8" s="14" t="n">
        <v>232</v>
      </c>
      <c r="E8" s="2" t="inlineStr">
        <is>
          <t>Meta Ad insights, boosted Instagram post, screenshot 20 Aug 2026.</t>
        </is>
      </c>
    </row>
    <row r="9">
      <c r="B9" s="6" t="inlineStr">
        <is>
          <t>Views</t>
        </is>
      </c>
      <c r="C9" s="15" t="n">
        <v>15979</v>
      </c>
      <c r="E9" s="2" t="inlineStr">
        <is>
          <t>Meta Ad insights, boosted Instagram post, screenshot 20 Aug 2026.</t>
        </is>
      </c>
    </row>
    <row r="10">
      <c r="B10" s="6" t="inlineStr">
        <is>
          <t>Viewers reached</t>
        </is>
      </c>
      <c r="C10" s="15" t="n">
        <v>11034</v>
      </c>
      <c r="E10" s="2" t="inlineStr">
        <is>
          <t>Meta Ad insights, boosted Instagram post, screenshot 20 Aug 2026.</t>
        </is>
      </c>
    </row>
    <row r="11">
      <c r="B11" s="6" t="inlineStr">
        <is>
          <t>Link clicks</t>
        </is>
      </c>
      <c r="C11" s="15" t="n">
        <v>491</v>
      </c>
      <c r="E11" s="2" t="inlineStr">
        <is>
          <t>Meta Ad insights, boosted Instagram post, screenshot 20 Aug 2026.</t>
        </is>
      </c>
    </row>
    <row r="12">
      <c r="B12" s="6" t="inlineStr">
        <is>
          <t>Link click through rate</t>
        </is>
      </c>
      <c r="C12" s="16" t="n">
        <v>0.031</v>
      </c>
      <c r="E12" s="2" t="inlineStr">
        <is>
          <t>Meta Ad insights, boosted Instagram post, screenshot 20 Aug 2026.</t>
        </is>
      </c>
    </row>
    <row r="13">
      <c r="B13" s="6" t="inlineStr">
        <is>
          <t>Cost per link click</t>
        </is>
      </c>
      <c r="C13" s="17">
        <f>'02_Baselines'!$C$7/'02_Baselines'!$C$11</f>
        <v/>
      </c>
      <c r="E13" s="2" t="inlineStr">
        <is>
          <t>Calculated from the two rows above. This is the only cost figure in the campaign that is real.</t>
        </is>
      </c>
    </row>
    <row r="14">
      <c r="B14" s="6" t="inlineStr">
        <is>
          <t>Instagram profile visits</t>
        </is>
      </c>
      <c r="C14" s="15" t="n">
        <v>490</v>
      </c>
      <c r="E14" s="2" t="inlineStr">
        <is>
          <t>Meta Ad insights, boosted Instagram post, screenshot 20 Aug 2026.</t>
        </is>
      </c>
    </row>
    <row r="15">
      <c r="B15" s="6" t="inlineStr">
        <is>
          <t>Cost per profile visit</t>
        </is>
      </c>
      <c r="C15" s="14" t="n">
        <v>3.3</v>
      </c>
      <c r="E15" s="2" t="inlineStr">
        <is>
          <t>Meta Ad insights, boosted Instagram post, screenshot 20 Aug 2026.</t>
        </is>
      </c>
    </row>
    <row r="16">
      <c r="B16" s="6" t="inlineStr">
        <is>
          <t>Instagram follows</t>
        </is>
      </c>
      <c r="C16" s="15" t="n">
        <v>127</v>
      </c>
      <c r="E16" s="2" t="inlineStr">
        <is>
          <t>Meta Ad insights, boosted Instagram post, screenshot 20 Aug 2026.</t>
        </is>
      </c>
    </row>
    <row r="17">
      <c r="B17" s="6" t="inlineStr">
        <is>
          <t>Post engagements</t>
        </is>
      </c>
      <c r="C17" s="15" t="n">
        <v>6595</v>
      </c>
      <c r="E17" s="2" t="inlineStr">
        <is>
          <t>Meta Ad insights, boosted Instagram post, screenshot 20 Aug 2026.</t>
        </is>
      </c>
    </row>
    <row r="18">
      <c r="B18" s="6" t="inlineStr">
        <is>
          <t>Reactions</t>
        </is>
      </c>
      <c r="C18" s="15" t="n">
        <v>417</v>
      </c>
      <c r="E18" s="2" t="inlineStr">
        <is>
          <t>Meta Ad insights, boosted Instagram post, screenshot 20 Aug 2026.</t>
        </is>
      </c>
    </row>
    <row r="19">
      <c r="B19" s="6" t="inlineStr">
        <is>
          <t>Comments</t>
        </is>
      </c>
      <c r="C19" s="15" t="n">
        <v>1</v>
      </c>
      <c r="E19" s="2" t="inlineStr">
        <is>
          <t>Meta Ad insights, boosted Instagram post, screenshot 20 Aug 2026.</t>
        </is>
      </c>
    </row>
    <row r="20">
      <c r="B20" s="6" t="inlineStr">
        <is>
          <t>Shares</t>
        </is>
      </c>
      <c r="C20" s="15" t="n">
        <v>30</v>
      </c>
      <c r="E20" s="2" t="inlineStr">
        <is>
          <t>Meta Ad insights, boosted Instagram post, screenshot 20 Aug 2026.</t>
        </is>
      </c>
    </row>
    <row r="21">
      <c r="B21" s="6" t="inlineStr">
        <is>
          <t>Saves</t>
        </is>
      </c>
      <c r="C21" s="15" t="n">
        <v>52</v>
      </c>
      <c r="E21" s="2" t="inlineStr">
        <is>
          <t>Meta Ad insights, boosted Instagram post, screenshot 20 Aug 2026.</t>
        </is>
      </c>
    </row>
    <row r="22">
      <c r="B22" s="6" t="inlineStr">
        <is>
          <t>Reel plays</t>
        </is>
      </c>
      <c r="C22" s="15" t="n">
        <v>14730</v>
      </c>
      <c r="E22" s="2" t="inlineStr">
        <is>
          <t>Meta Ad insights, boosted Instagram post, screenshot 20 Aug 2026.</t>
        </is>
      </c>
    </row>
    <row r="23">
      <c r="B23" s="6" t="inlineStr">
        <is>
          <t>ThruPlays</t>
        </is>
      </c>
      <c r="C23" s="15" t="n">
        <v>1757</v>
      </c>
      <c r="E23" s="2" t="inlineStr">
        <is>
          <t>Meta Ad insights, boosted Instagram post, screenshot 20 Aug 2026.</t>
        </is>
      </c>
    </row>
    <row r="24">
      <c r="B24" s="6" t="inlineStr">
        <is>
          <t>Video length (seconds)</t>
        </is>
      </c>
      <c r="C24" s="15" t="n">
        <v>53</v>
      </c>
      <c r="E24" s="2" t="inlineStr">
        <is>
          <t>Meta Ad insights, boosted Instagram post, screenshot 20 Aug 2026.</t>
        </is>
      </c>
    </row>
    <row r="25">
      <c r="B25" s="6" t="inlineStr">
        <is>
          <t>Average watch time (seconds)</t>
        </is>
      </c>
      <c r="C25" s="15" t="n">
        <v>7</v>
      </c>
      <c r="E25" s="2" t="inlineStr">
        <is>
          <t>Meta Ad insights, boosted Instagram post, screenshot 20 Aug 2026.</t>
        </is>
      </c>
    </row>
    <row r="26">
      <c r="B26" s="6" t="inlineStr">
        <is>
          <t>Hook rate</t>
        </is>
      </c>
      <c r="C26" s="16" t="n">
        <v>0.38</v>
      </c>
      <c r="E26" s="2" t="inlineStr">
        <is>
          <t>Meta Ad insights, boosted Instagram post, screenshot 20 Aug 2026.</t>
        </is>
      </c>
    </row>
    <row r="27">
      <c r="B27" s="6" t="inlineStr">
        <is>
          <t>Hold rate</t>
        </is>
      </c>
      <c r="C27" s="16" t="n">
        <v>0.076</v>
      </c>
      <c r="E27" s="2" t="inlineStr">
        <is>
          <t>Meta Ad insights, boosted Instagram post, screenshot 20 Aug 2026.</t>
        </is>
      </c>
    </row>
    <row r="29" ht="20" customHeight="1">
      <c r="B29" s="3" t="inlineStr">
        <is>
          <t>Paid: who it actually reached</t>
        </is>
      </c>
      <c r="C29" s="4" t="n"/>
      <c r="D29" s="4" t="n"/>
      <c r="E29" s="4" t="n"/>
    </row>
    <row r="30" ht="26" customHeight="1">
      <c r="B30" s="11" t="inlineStr">
        <is>
          <t>Reported figure</t>
        </is>
      </c>
      <c r="C30" s="11" t="inlineStr">
        <is>
          <t>Value</t>
        </is>
      </c>
      <c r="D30" s="11" t="inlineStr"/>
      <c r="E30" s="11" t="inlineStr">
        <is>
          <t>Source</t>
        </is>
      </c>
    </row>
    <row r="31">
      <c r="B31" s="6" t="inlineStr">
        <is>
          <t>Women</t>
        </is>
      </c>
      <c r="C31" s="16" t="n">
        <v>0.607</v>
      </c>
      <c r="E31" s="2" t="inlineStr">
        <is>
          <t>Meta Ad insights, boosted Instagram post, screenshot 20 Aug 2026.</t>
        </is>
      </c>
    </row>
    <row r="32">
      <c r="B32" s="6" t="inlineStr">
        <is>
          <t>Men</t>
        </is>
      </c>
      <c r="C32" s="16" t="n">
        <v>0.384</v>
      </c>
      <c r="E32" s="2" t="inlineStr">
        <is>
          <t>Meta Ad insights, boosted Instagram post, screenshot 20 Aug 2026.</t>
        </is>
      </c>
    </row>
    <row r="33">
      <c r="B33" s="6" t="inlineStr">
        <is>
          <t>Non binary</t>
        </is>
      </c>
      <c r="C33" s="16" t="n">
        <v>0.008999999999999999</v>
      </c>
      <c r="E33" s="2" t="inlineStr">
        <is>
          <t>Meta Ad insights, boosted Instagram post, screenshot 20 Aug 2026.</t>
        </is>
      </c>
    </row>
    <row r="34">
      <c r="B34" s="6" t="inlineStr">
        <is>
          <t>Largest age band</t>
        </is>
      </c>
      <c r="C34" s="18" t="inlineStr">
        <is>
          <t>35 to 44</t>
        </is>
      </c>
      <c r="E34" s="2" t="inlineStr">
        <is>
          <t>Meta reports bands as bars without figures. 35 to 44 is the longest bar, 25 to 34 second.</t>
        </is>
      </c>
    </row>
    <row r="35">
      <c r="B35" s="6" t="inlineStr">
        <is>
          <t>Gauteng</t>
        </is>
      </c>
      <c r="C35" s="18" t="inlineStr">
        <is>
          <t>Largest</t>
        </is>
      </c>
      <c r="E35" s="2" t="inlineStr">
        <is>
          <t>Bar is full width, figure not shown in the export.</t>
        </is>
      </c>
    </row>
    <row r="36">
      <c r="B36" s="6" t="inlineStr">
        <is>
          <t>KwaZulu Natal</t>
        </is>
      </c>
      <c r="C36" s="15" t="n">
        <v>1200</v>
      </c>
      <c r="E36" s="2" t="inlineStr">
        <is>
          <t>Meta Ad insights, boosted Instagram post, screenshot 20 Aug 2026.</t>
        </is>
      </c>
    </row>
    <row r="37">
      <c r="B37" s="6" t="inlineStr">
        <is>
          <t>Western Cape</t>
        </is>
      </c>
      <c r="C37" s="15" t="n">
        <v>863</v>
      </c>
      <c r="E37" s="2" t="inlineStr">
        <is>
          <t>Meta Ad insights, boosted Instagram post, screenshot 20 Aug 2026.</t>
        </is>
      </c>
    </row>
    <row r="38">
      <c r="B38" s="6" t="inlineStr">
        <is>
          <t>Limpopo</t>
        </is>
      </c>
      <c r="C38" s="15" t="n">
        <v>572</v>
      </c>
      <c r="E38" s="2" t="inlineStr">
        <is>
          <t>Meta Ad insights, boosted Instagram post, screenshot 20 Aug 2026.</t>
        </is>
      </c>
    </row>
    <row r="39">
      <c r="B39" s="6" t="inlineStr">
        <is>
          <t>Eastern Cape</t>
        </is>
      </c>
      <c r="C39" s="15" t="n">
        <v>556</v>
      </c>
      <c r="E39" s="2" t="inlineStr">
        <is>
          <t>Meta Ad insights, boosted Instagram post, screenshot 20 Aug 2026.</t>
        </is>
      </c>
    </row>
    <row r="40">
      <c r="B40" s="6" t="inlineStr">
        <is>
          <t>Mpumalanga</t>
        </is>
      </c>
      <c r="C40" s="15" t="n">
        <v>556</v>
      </c>
      <c r="E40" s="2" t="inlineStr">
        <is>
          <t>Meta Ad insights, boosted Instagram post, screenshot 20 Aug 2026.</t>
        </is>
      </c>
    </row>
    <row r="42" ht="20" customHeight="1">
      <c r="B42" s="3" t="inlineStr">
        <is>
          <t>Organic: reel on Facebook and Instagram</t>
        </is>
      </c>
      <c r="C42" s="4" t="n"/>
      <c r="D42" s="4" t="n"/>
      <c r="E42" s="4" t="n"/>
    </row>
    <row r="43" ht="26" customHeight="1">
      <c r="B43" s="11" t="inlineStr">
        <is>
          <t>Reported figure</t>
        </is>
      </c>
      <c r="C43" s="11" t="inlineStr">
        <is>
          <t>Value</t>
        </is>
      </c>
      <c r="D43" s="11" t="inlineStr"/>
      <c r="E43" s="11" t="inlineStr">
        <is>
          <t>Source</t>
        </is>
      </c>
    </row>
    <row r="44">
      <c r="B44" s="6" t="inlineStr">
        <is>
          <t>Views, total</t>
        </is>
      </c>
      <c r="C44" s="15" t="n">
        <v>12677</v>
      </c>
      <c r="E44" s="2" t="inlineStr">
        <is>
          <t>Reel insights, screenshot 20 Aug 2026.</t>
        </is>
      </c>
    </row>
    <row r="45">
      <c r="B45" s="6" t="inlineStr">
        <is>
          <t>Views, Instagram</t>
        </is>
      </c>
      <c r="C45" s="15" t="n">
        <v>11992</v>
      </c>
      <c r="E45" s="2" t="inlineStr">
        <is>
          <t>Reel insights, screenshot 20 Aug 2026.</t>
        </is>
      </c>
    </row>
    <row r="46">
      <c r="B46" s="6" t="inlineStr">
        <is>
          <t>Views, Facebook</t>
        </is>
      </c>
      <c r="C46" s="15" t="n">
        <v>685</v>
      </c>
      <c r="E46" s="2" t="inlineStr">
        <is>
          <t>Reel insights, screenshot 20 Aug 2026.</t>
        </is>
      </c>
    </row>
    <row r="47">
      <c r="B47" s="6" t="inlineStr">
        <is>
          <t>Views from followers</t>
        </is>
      </c>
      <c r="C47" s="15" t="n">
        <v>1410</v>
      </c>
      <c r="E47" s="2" t="inlineStr">
        <is>
          <t>Reel insights, screenshot 20 Aug 2026.</t>
        </is>
      </c>
    </row>
    <row r="48">
      <c r="B48" s="6" t="inlineStr">
        <is>
          <t>Views from non followers</t>
        </is>
      </c>
      <c r="C48" s="15" t="n">
        <v>10977</v>
      </c>
      <c r="E48" s="2" t="inlineStr">
        <is>
          <t>Reel insights, screenshot 20 Aug 2026.</t>
        </is>
      </c>
    </row>
    <row r="49">
      <c r="B49" s="6" t="inlineStr">
        <is>
          <t>Interactions</t>
        </is>
      </c>
      <c r="C49" s="15" t="n">
        <v>69</v>
      </c>
      <c r="E49" s="2" t="inlineStr">
        <is>
          <t>Reel insights, screenshot 20 Aug 2026.</t>
        </is>
      </c>
    </row>
    <row r="50">
      <c r="B50" s="6" t="inlineStr">
        <is>
          <t>Reactions</t>
        </is>
      </c>
      <c r="C50" s="15" t="n">
        <v>55</v>
      </c>
      <c r="E50" s="2" t="inlineStr">
        <is>
          <t>Reel insights, screenshot 20 Aug 2026.</t>
        </is>
      </c>
    </row>
    <row r="51">
      <c r="B51" s="6" t="inlineStr">
        <is>
          <t>Shares</t>
        </is>
      </c>
      <c r="C51" s="15" t="n">
        <v>9</v>
      </c>
      <c r="E51" s="2" t="inlineStr">
        <is>
          <t>Reel insights, screenshot 20 Aug 2026.</t>
        </is>
      </c>
    </row>
    <row r="52">
      <c r="B52" s="6" t="inlineStr">
        <is>
          <t>Saves</t>
        </is>
      </c>
      <c r="C52" s="15" t="n">
        <v>5</v>
      </c>
      <c r="E52" s="2" t="inlineStr">
        <is>
          <t>Reel insights, screenshot 20 Aug 2026.</t>
        </is>
      </c>
    </row>
    <row r="53">
      <c r="B53" s="6" t="inlineStr">
        <is>
          <t>Follows</t>
        </is>
      </c>
      <c r="C53" s="15" t="n">
        <v>17</v>
      </c>
      <c r="E53" s="2" t="inlineStr">
        <is>
          <t>Reel insights, screenshot 20 Aug 2026.</t>
        </is>
      </c>
    </row>
    <row r="55" ht="20" customHeight="1">
      <c r="B55" s="3" t="inlineStr">
        <is>
          <t>Organic: TikTok, single video posted 13 March 2026</t>
        </is>
      </c>
      <c r="C55" s="4" t="n"/>
      <c r="D55" s="4" t="n"/>
      <c r="E55" s="4" t="n"/>
    </row>
    <row r="56" ht="26" customHeight="1">
      <c r="B56" s="11" t="inlineStr">
        <is>
          <t>Reported figure</t>
        </is>
      </c>
      <c r="C56" s="11" t="inlineStr">
        <is>
          <t>Value</t>
        </is>
      </c>
      <c r="D56" s="11" t="inlineStr"/>
      <c r="E56" s="11" t="inlineStr">
        <is>
          <t>Source</t>
        </is>
      </c>
    </row>
    <row r="57">
      <c r="B57" s="6" t="inlineStr">
        <is>
          <t>Video views</t>
        </is>
      </c>
      <c r="C57" s="15" t="n">
        <v>38922</v>
      </c>
      <c r="E57" s="2" t="inlineStr">
        <is>
          <t>TikTok Studio video analysis, screenshot 20 Aug 2026.</t>
        </is>
      </c>
    </row>
    <row r="58">
      <c r="B58" s="6" t="inlineStr">
        <is>
          <t>Total viewers</t>
        </is>
      </c>
      <c r="C58" s="15" t="n">
        <v>30800</v>
      </c>
      <c r="E58" s="2" t="inlineStr">
        <is>
          <t>TikTok Studio video analysis, screenshot 20 Aug 2026.</t>
        </is>
      </c>
    </row>
    <row r="59">
      <c r="B59" s="6" t="inlineStr">
        <is>
          <t>Average watch time (seconds)</t>
        </is>
      </c>
      <c r="C59" s="19" t="n">
        <v>16.9</v>
      </c>
      <c r="E59" s="2" t="inlineStr">
        <is>
          <t>TikTok Studio video analysis, screenshot 20 Aug 2026.</t>
        </is>
      </c>
    </row>
    <row r="60">
      <c r="B60" s="6" t="inlineStr">
        <is>
          <t>Watched full video</t>
        </is>
      </c>
      <c r="C60" s="16" t="n">
        <v>0.0625</v>
      </c>
      <c r="E60" s="2" t="inlineStr">
        <is>
          <t>TikTok Studio video analysis, screenshot 20 Aug 2026.</t>
        </is>
      </c>
    </row>
    <row r="61">
      <c r="B61" s="6" t="inlineStr">
        <is>
          <t>Likes</t>
        </is>
      </c>
      <c r="C61" s="15" t="n">
        <v>5194</v>
      </c>
      <c r="E61" s="2" t="inlineStr">
        <is>
          <t>TikTok Studio video analysis, screenshot 20 Aug 2026.</t>
        </is>
      </c>
    </row>
    <row r="62">
      <c r="B62" s="6" t="inlineStr">
        <is>
          <t>Comments</t>
        </is>
      </c>
      <c r="C62" s="15" t="n">
        <v>20</v>
      </c>
      <c r="E62" s="2" t="inlineStr">
        <is>
          <t>TikTok Studio video analysis, screenshot 20 Aug 2026.</t>
        </is>
      </c>
    </row>
    <row r="63">
      <c r="B63" s="6" t="inlineStr">
        <is>
          <t>Shares</t>
        </is>
      </c>
      <c r="C63" s="15" t="n">
        <v>37</v>
      </c>
      <c r="E63" s="2" t="inlineStr">
        <is>
          <t>TikTok Studio video analysis, screenshot 20 Aug 2026.</t>
        </is>
      </c>
    </row>
    <row r="64">
      <c r="B64" s="6" t="inlineStr">
        <is>
          <t>Saves</t>
        </is>
      </c>
      <c r="C64" s="15" t="n">
        <v>159</v>
      </c>
      <c r="E64" s="2" t="inlineStr">
        <is>
          <t>TikTok Studio video analysis, screenshot 20 Aug 2026.</t>
        </is>
      </c>
    </row>
    <row r="65">
      <c r="B65" s="6" t="inlineStr">
        <is>
          <t>New followers</t>
        </is>
      </c>
      <c r="C65" s="15" t="n">
        <v>25</v>
      </c>
      <c r="E65" s="2" t="inlineStr">
        <is>
          <t>TikTok Studio video analysis, screenshot 20 Aug 2026.</t>
        </is>
      </c>
    </row>
    <row r="66">
      <c r="B66" s="6" t="inlineStr">
        <is>
          <t>Returning viewers</t>
        </is>
      </c>
      <c r="C66" s="16" t="n">
        <v>0.97</v>
      </c>
      <c r="E66" s="2" t="inlineStr">
        <is>
          <t>TikTok Studio video analysis, screenshot 20 Aug 2026.</t>
        </is>
      </c>
    </row>
    <row r="67">
      <c r="B67" s="6" t="inlineStr">
        <is>
          <t>Non followers</t>
        </is>
      </c>
      <c r="C67" s="16" t="n">
        <v>0.6</v>
      </c>
      <c r="E67" s="2" t="inlineStr">
        <is>
          <t>TikTok Studio video analysis, screenshot 20 Aug 2026.</t>
        </is>
      </c>
    </row>
    <row r="68">
      <c r="B68" s="6" t="inlineStr">
        <is>
          <t>Female</t>
        </is>
      </c>
      <c r="C68" s="16" t="n">
        <v>0.65</v>
      </c>
      <c r="E68" s="2" t="inlineStr">
        <is>
          <t>TikTok Studio video analysis, screenshot 20 Aug 2026.</t>
        </is>
      </c>
    </row>
    <row r="69">
      <c r="B69" s="6" t="inlineStr">
        <is>
          <t>Male</t>
        </is>
      </c>
      <c r="C69" s="16" t="n">
        <v>0.35</v>
      </c>
      <c r="E69" s="2" t="inlineStr">
        <is>
          <t>TikTok Studio video analysis, screenshot 20 Aug 2026.</t>
        </is>
      </c>
    </row>
    <row r="70">
      <c r="B70" s="6" t="inlineStr">
        <is>
          <t>Age 18 to 24</t>
        </is>
      </c>
      <c r="C70" s="16" t="n">
        <v>0.54</v>
      </c>
      <c r="E70" s="2" t="inlineStr">
        <is>
          <t>TikTok Studio video analysis, screenshot 20 Aug 2026.</t>
        </is>
      </c>
    </row>
    <row r="71">
      <c r="B71" s="6" t="inlineStr">
        <is>
          <t>Age 25 to 34</t>
        </is>
      </c>
      <c r="C71" s="16" t="n">
        <v>0.33</v>
      </c>
      <c r="E71" s="2" t="inlineStr">
        <is>
          <t>TikTok Studio video analysis, screenshot 20 Aug 2026.</t>
        </is>
      </c>
    </row>
    <row r="72">
      <c r="B72" s="6" t="inlineStr">
        <is>
          <t>Age 35 to 44</t>
        </is>
      </c>
      <c r="C72" s="16" t="n">
        <v>0.08</v>
      </c>
      <c r="E72" s="2" t="inlineStr">
        <is>
          <t>TikTok Studio video analysis, screenshot 20 Aug 2026.</t>
        </is>
      </c>
    </row>
    <row r="73">
      <c r="B73" s="6" t="inlineStr">
        <is>
          <t>South Africa</t>
        </is>
      </c>
      <c r="C73" s="16" t="n">
        <v>0.779</v>
      </c>
      <c r="E73" s="2" t="inlineStr">
        <is>
          <t>TikTok Studio video analysis, screenshot 20 Aug 2026.</t>
        </is>
      </c>
    </row>
    <row r="75" ht="20" customHeight="1">
      <c r="B75" s="3" t="inlineStr">
        <is>
          <t>What this settles, and what it does not</t>
        </is>
      </c>
      <c r="C75" s="4" t="n"/>
      <c r="D75" s="4" t="n"/>
      <c r="E75" s="4" t="n"/>
    </row>
    <row r="76" ht="26" customHeight="1">
      <c r="B76" s="20" t="inlineStr">
        <is>
          <t>Settled</t>
        </is>
      </c>
      <c r="C76" s="21" t="inlineStr">
        <is>
          <t>Cost per link click on Meta, at R3.29. That is a real number from a real buy against a real audience.</t>
        </is>
      </c>
    </row>
    <row r="77" ht="26" customHeight="1">
      <c r="B77" s="20" t="inlineStr">
        <is>
          <t>Settled</t>
        </is>
      </c>
      <c r="C77" s="21" t="inlineStr">
        <is>
          <t>Meta reaches the paying adult. Women 60.7%, largest band 35 to 44. That is the parent.</t>
        </is>
      </c>
    </row>
    <row r="78" ht="26" customHeight="1">
      <c r="B78" s="20" t="inlineStr">
        <is>
          <t>Settled</t>
        </is>
      </c>
      <c r="C78" s="21" t="inlineStr">
        <is>
          <t>TikTok reaches the student, not the buyer. 54% aged 18 to 24, 97% returning viewers. Treat it as demand creation, not as a sales channel.</t>
        </is>
      </c>
    </row>
    <row r="79" ht="26" customHeight="1">
      <c r="B79" s="22" t="inlineStr">
        <is>
          <t>Not settled</t>
        </is>
      </c>
      <c r="C79" s="21" t="inlineStr">
        <is>
          <t>Click to signup. The lead endpoint is not live, so nobody knows how many of the 491 clicks became a signup.</t>
        </is>
      </c>
    </row>
    <row r="80" ht="26" customHeight="1">
      <c r="B80" s="22" t="inlineStr">
        <is>
          <t>Not settled</t>
        </is>
      </c>
      <c r="C80" s="21" t="inlineStr">
        <is>
          <t>Signup to sale. GA4 has no purchase event, so no click has ever been tied to a payment.</t>
        </is>
      </c>
    </row>
    <row r="81" ht="26" customHeight="1">
      <c r="B81" s="22" t="inlineStr">
        <is>
          <t>Not settled</t>
        </is>
      </c>
      <c r="C81" s="21" t="inlineStr">
        <is>
          <t>Therefore cost per sale. It cannot be derived from anything held today. Measuring it is the entire purpose of this sprint.</t>
        </is>
      </c>
    </row>
  </sheetData>
  <mergeCells count="6">
    <mergeCell ref="C76:E76"/>
    <mergeCell ref="C80:E80"/>
    <mergeCell ref="C79:E79"/>
    <mergeCell ref="C78:E78"/>
    <mergeCell ref="C77:E77"/>
    <mergeCell ref="C81:E8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56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13" customWidth="1" min="4" max="4"/>
    <col width="62" customWidth="1" min="5" max="5"/>
  </cols>
  <sheetData>
    <row r="2" ht="27" customHeight="1">
      <c r="B2" s="1" t="inlineStr">
        <is>
          <t>SPRINT DRIVERS</t>
        </is>
      </c>
    </row>
    <row r="3" ht="13" customHeight="1">
      <c r="B3" s="2" t="inlineStr">
        <is>
          <t>Every assumption in one cell. Yellow cells are set by a person. Everything else calculates. Cost per sale is derived here, never assumed.</t>
        </is>
      </c>
    </row>
    <row r="5" ht="20" customHeight="1">
      <c r="B5" s="3" t="inlineStr">
        <is>
          <t>Sprint window</t>
        </is>
      </c>
      <c r="C5" s="4" t="n"/>
      <c r="D5" s="4" t="n"/>
      <c r="E5" s="4" t="n"/>
    </row>
    <row r="6" ht="26" customHeight="1">
      <c r="B6" s="11" t="inlineStr">
        <is>
          <t>Driver</t>
        </is>
      </c>
      <c r="C6" s="11" t="inlineStr">
        <is>
          <t>Value</t>
        </is>
      </c>
      <c r="D6" s="11" t="inlineStr"/>
      <c r="E6" s="11" t="inlineStr">
        <is>
          <t>Source or note</t>
        </is>
      </c>
    </row>
    <row r="7">
      <c r="B7" s="6" t="inlineStr">
        <is>
          <t>Sprint start</t>
        </is>
      </c>
      <c r="C7" s="34" t="n">
        <v>46258</v>
      </c>
      <c r="E7" s="2" t="inlineStr">
        <is>
          <t>Monday. First full week after the 21 Aug data pull.</t>
        </is>
      </c>
    </row>
    <row r="8">
      <c r="B8" s="6" t="inlineStr">
        <is>
          <t>Sprint end</t>
        </is>
      </c>
      <c r="C8" s="34" t="n">
        <v>46271</v>
      </c>
      <c r="E8" s="2" t="inlineStr">
        <is>
          <t>Sunday. Two complete weeks.</t>
        </is>
      </c>
    </row>
    <row r="9">
      <c r="B9" s="6" t="inlineStr">
        <is>
          <t>Days in sprint</t>
        </is>
      </c>
      <c r="C9" s="24">
        <f>'03_Sprint_Drivers'!$C$8-'03_Sprint_Drivers'!$C$7+1</f>
        <v/>
      </c>
      <c r="E9" s="2" t="inlineStr">
        <is>
          <t>Calculated.</t>
        </is>
      </c>
    </row>
    <row r="11" ht="20" customHeight="1">
      <c r="B11" s="3" t="inlineStr">
        <is>
          <t>What is being risked, and what it has to prove</t>
        </is>
      </c>
      <c r="C11" s="4" t="n"/>
      <c r="D11" s="4" t="n"/>
      <c r="E11" s="4" t="n"/>
    </row>
    <row r="12" ht="26" customHeight="1">
      <c r="B12" s="11" t="inlineStr">
        <is>
          <t>Driver</t>
        </is>
      </c>
      <c r="C12" s="11" t="inlineStr">
        <is>
          <t>Value</t>
        </is>
      </c>
      <c r="D12" s="11" t="inlineStr"/>
      <c r="E12" s="11" t="inlineStr">
        <is>
          <t>Source or note</t>
        </is>
      </c>
    </row>
    <row r="13">
      <c r="B13" s="6" t="inlineStr">
        <is>
          <t>Sprint media cap, GE1 paid (R)</t>
        </is>
      </c>
      <c r="C13" s="35" t="n">
        <v>10000</v>
      </c>
      <c r="E13" s="2" t="inlineStr">
        <is>
          <t>Agreed 21 Aug: R5 000 a week across both weeks. Sits inside the R250 000 of paid media the v4 plan already carries rather than adding to it.</t>
        </is>
      </c>
    </row>
    <row r="14">
      <c r="B14" s="6" t="inlineStr">
        <is>
          <t>Qualifying sales target</t>
        </is>
      </c>
      <c r="C14" s="26" t="n">
        <v>61</v>
      </c>
      <c r="E14" s="2" t="inlineStr">
        <is>
          <t>Agreed 21 Aug. What R10 000 returns if click to sale is 2%, which is the hypothesis being tested. Hitting it confirms 2% and tells exco R2m buys about 12 100 sales, not 40 000.</t>
        </is>
      </c>
    </row>
    <row r="15">
      <c r="B15" s="6" t="inlineStr">
        <is>
          <t>Share of the target from GE1 paid</t>
        </is>
      </c>
      <c r="C15" s="27" t="n">
        <v>1</v>
      </c>
      <c r="E15" s="2" t="inlineStr">
        <is>
          <t>100% this sprint. The 61 is what the paid budget buys. School outreach carries no media spend and is setting its first baseline, so it is measured rather than targeted.</t>
        </is>
      </c>
    </row>
    <row r="16">
      <c r="B16" s="6" t="inlineStr">
        <is>
          <t>Share of the target from GE2 schools</t>
        </is>
      </c>
      <c r="C16" s="28">
        <f>1-'03_Sprint_Drivers'!$C$15</f>
        <v/>
      </c>
      <c r="E16" s="2" t="inlineStr">
        <is>
          <t>Calculated. Zero by design this sprint. GE2 sales are counted and reported, just not targeted.</t>
        </is>
      </c>
    </row>
    <row r="17">
      <c r="B17" s="6" t="inlineStr">
        <is>
          <t>GE1 sales target</t>
        </is>
      </c>
      <c r="C17" s="24">
        <f>ROUND('03_Sprint_Drivers'!$C$14*'03_Sprint_Drivers'!$C$15,0)</f>
        <v/>
      </c>
      <c r="E17" s="2" t="inlineStr">
        <is>
          <t>Calculated.</t>
        </is>
      </c>
    </row>
    <row r="18">
      <c r="B18" s="6" t="inlineStr">
        <is>
          <t>GE2 sales target</t>
        </is>
      </c>
      <c r="C18" s="24">
        <f>'03_Sprint_Drivers'!$C$14-'03_Sprint_Drivers'!$C$17</f>
        <v/>
      </c>
      <c r="E18" s="2" t="inlineStr">
        <is>
          <t>Calculated. Remainder, so the two always sum to the target.</t>
        </is>
      </c>
    </row>
    <row r="19">
      <c r="B19" s="6" t="inlineStr">
        <is>
          <t>Sales required per day</t>
        </is>
      </c>
      <c r="C19" s="29">
        <f>ROUND('03_Sprint_Drivers'!$C$14/'03_Sprint_Drivers'!$C$9,1)</f>
        <v/>
      </c>
      <c r="E19" s="2" t="inlineStr">
        <is>
          <t>Calculated.</t>
        </is>
      </c>
    </row>
    <row r="21" ht="20" customHeight="1">
      <c r="B21" s="3" t="inlineStr">
        <is>
          <t>What the real cost per click means for that target</t>
        </is>
      </c>
      <c r="C21" s="4" t="n"/>
      <c r="D21" s="4" t="n"/>
      <c r="E21" s="4" t="n"/>
    </row>
    <row r="22" ht="26" customHeight="1">
      <c r="B22" s="11" t="inlineStr">
        <is>
          <t>Driver</t>
        </is>
      </c>
      <c r="C22" s="11" t="inlineStr">
        <is>
          <t>Value</t>
        </is>
      </c>
      <c r="D22" s="11" t="inlineStr"/>
      <c r="E22" s="11" t="inlineStr">
        <is>
          <t>Source or note</t>
        </is>
      </c>
    </row>
    <row r="23">
      <c r="B23" s="6" t="inlineStr">
        <is>
          <t>Cost per link click</t>
        </is>
      </c>
      <c r="C23" s="17">
        <f>'02_Baselines'!$C$13</f>
        <v/>
      </c>
      <c r="E23" s="2" t="inlineStr">
        <is>
          <t>Real. From the July Meta boost on 02_Baselines. Not an estimate.</t>
        </is>
      </c>
    </row>
    <row r="24">
      <c r="B24" s="6" t="inlineStr">
        <is>
          <t>Clicks the cap buys at that rate</t>
        </is>
      </c>
      <c r="C24" s="24">
        <f>ROUND('03_Sprint_Drivers'!$C$13/'03_Sprint_Drivers'!$C$23,0)</f>
        <v/>
      </c>
      <c r="E24" s="2" t="inlineStr">
        <is>
          <t>Calculated.</t>
        </is>
      </c>
    </row>
    <row r="25">
      <c r="B25" s="6" t="inlineStr">
        <is>
          <t>Click to sale rate GE1 must achieve</t>
        </is>
      </c>
      <c r="C25" s="28">
        <f>IFERROR('03_Sprint_Drivers'!$C$17/'03_Sprint_Drivers'!$C$24,0)</f>
        <v/>
      </c>
      <c r="E25" s="2" t="inlineStr">
        <is>
          <t>Calculated. THE TEST. Nobody knows the real rate, because no click has ever been tied to a payment. For R2m to buy 40 000 this would have to reach 6.6% at today's cost per click.</t>
        </is>
      </c>
    </row>
    <row r="26">
      <c r="B26" s="6" t="inlineStr">
        <is>
          <t>Cost per sale this implies, GE1</t>
        </is>
      </c>
      <c r="C26" s="36">
        <f>IFERROR('03_Sprint_Drivers'!$C$13/'03_Sprint_Drivers'!$C$17,0)</f>
        <v/>
      </c>
      <c r="E26" s="2" t="inlineStr">
        <is>
          <t>Calculated from the cap and the target, not assumed. v4 sheet 09 sets R85 as the cost per free signup target.</t>
        </is>
      </c>
    </row>
    <row r="28" ht="20" customHeight="1">
      <c r="B28" s="3" t="inlineStr">
        <is>
          <t>What the cap buys at different click to sale rates</t>
        </is>
      </c>
      <c r="C28" s="4" t="n"/>
      <c r="D28" s="4" t="n"/>
      <c r="E28" s="4" t="n"/>
    </row>
    <row r="29" ht="26" customHeight="1">
      <c r="B29" s="11" t="inlineStr">
        <is>
          <t>If click to sale is</t>
        </is>
      </c>
      <c r="C29" s="11" t="inlineStr">
        <is>
          <t>Cost per sale becomes</t>
        </is>
      </c>
      <c r="D29" s="11" t="inlineStr">
        <is>
          <t>Sales the cap buys</t>
        </is>
      </c>
      <c r="E29" s="11" t="inlineStr"/>
    </row>
    <row r="30">
      <c r="B30" s="31" t="n">
        <v>0.005</v>
      </c>
      <c r="C30" s="36">
        <f>'03_Sprint_Drivers'!$C$23/B30</f>
        <v/>
      </c>
      <c r="D30" s="24">
        <f>ROUND('03_Sprint_Drivers'!$C$24*B30,0)</f>
        <v/>
      </c>
    </row>
    <row r="31">
      <c r="B31" s="31" t="n">
        <v>0.01</v>
      </c>
      <c r="C31" s="36">
        <f>'03_Sprint_Drivers'!$C$23/B31</f>
        <v/>
      </c>
      <c r="D31" s="24">
        <f>ROUND('03_Sprint_Drivers'!$C$24*B31,0)</f>
        <v/>
      </c>
    </row>
    <row r="32">
      <c r="B32" s="31" t="n">
        <v>0.02</v>
      </c>
      <c r="C32" s="36">
        <f>'03_Sprint_Drivers'!$C$23/B32</f>
        <v/>
      </c>
      <c r="D32" s="24">
        <f>ROUND('03_Sprint_Drivers'!$C$24*B32,0)</f>
        <v/>
      </c>
    </row>
    <row r="33">
      <c r="B33" s="31" t="n">
        <v>0.04</v>
      </c>
      <c r="C33" s="36">
        <f>'03_Sprint_Drivers'!$C$23/B33</f>
        <v/>
      </c>
      <c r="D33" s="24">
        <f>ROUND('03_Sprint_Drivers'!$C$24*B33,0)</f>
        <v/>
      </c>
    </row>
    <row r="34">
      <c r="B34" s="31" t="n">
        <v>0.08</v>
      </c>
      <c r="C34" s="36">
        <f>'03_Sprint_Drivers'!$C$23/B34</f>
        <v/>
      </c>
      <c r="D34" s="24">
        <f>ROUND('03_Sprint_Drivers'!$C$24*B34,0)</f>
        <v/>
      </c>
    </row>
    <row r="35">
      <c r="B35" s="2" t="inlineStr">
        <is>
          <t>Read this against the target above. It is the whole commercial question in five rows.</t>
        </is>
      </c>
    </row>
    <row r="37" ht="20" customHeight="1">
      <c r="B37" s="3" t="inlineStr">
        <is>
          <t>Against the full campaign</t>
        </is>
      </c>
      <c r="C37" s="4" t="n"/>
      <c r="D37" s="4" t="n"/>
      <c r="E37" s="4" t="n"/>
    </row>
    <row r="38" ht="26" customHeight="1">
      <c r="B38" s="11" t="inlineStr">
        <is>
          <t>Driver</t>
        </is>
      </c>
      <c r="C38" s="11" t="inlineStr">
        <is>
          <t>Value</t>
        </is>
      </c>
      <c r="D38" s="11" t="inlineStr"/>
      <c r="E38" s="11" t="inlineStr">
        <is>
          <t>Source or note</t>
        </is>
      </c>
    </row>
    <row r="39">
      <c r="B39" s="6" t="inlineStr">
        <is>
          <t>Full campaign target</t>
        </is>
      </c>
      <c r="C39" s="26" t="n">
        <v>40000</v>
      </c>
      <c r="E39" s="2" t="inlineStr">
        <is>
          <t>Campaign brief. Paid transactions by 30 Nov 2026.</t>
        </is>
      </c>
    </row>
    <row r="40">
      <c r="B40" s="6" t="inlineStr">
        <is>
          <t>Weeks from sprint start to deadline</t>
        </is>
      </c>
      <c r="C40" s="26" t="n">
        <v>15</v>
      </c>
      <c r="E40" s="2" t="inlineStr">
        <is>
          <t>24 Aug to 30 Nov 2026.</t>
        </is>
      </c>
    </row>
    <row r="41">
      <c r="B41" s="6" t="inlineStr">
        <is>
          <t>Required pace per week</t>
        </is>
      </c>
      <c r="C41" s="24">
        <f>ROUND('03_Sprint_Drivers'!$C$39/'03_Sprint_Drivers'!$C$40,0)</f>
        <v/>
      </c>
      <c r="E41" s="2" t="inlineStr">
        <is>
          <t>Calculated.</t>
        </is>
      </c>
    </row>
    <row r="42">
      <c r="B42" s="6" t="inlineStr">
        <is>
          <t>Required sales in a 14 day window</t>
        </is>
      </c>
      <c r="C42" s="24">
        <f>'03_Sprint_Drivers'!$C$41*2</f>
        <v/>
      </c>
      <c r="E42" s="2" t="inlineStr">
        <is>
          <t>Calculated. What full pace looks like over this sprint.</t>
        </is>
      </c>
    </row>
    <row r="43">
      <c r="B43" s="6" t="inlineStr">
        <is>
          <t>This sprint as a share of full pace</t>
        </is>
      </c>
      <c r="C43" s="28">
        <f>IFERROR('03_Sprint_Drivers'!$C$14/'03_Sprint_Drivers'!$C$42,0)</f>
        <v/>
      </c>
      <c r="E43" s="2" t="inlineStr">
        <is>
          <t>Calculated. How far the qualifying target sits below full pace.</t>
        </is>
      </c>
    </row>
    <row r="45" ht="20" customHeight="1">
      <c r="B45" s="3" t="inlineStr">
        <is>
          <t>How a sale is counted in this sprint</t>
        </is>
      </c>
      <c r="C45" s="4" t="n"/>
      <c r="D45" s="4" t="n"/>
      <c r="E45" s="4" t="n"/>
    </row>
    <row r="46" ht="26" customHeight="1">
      <c r="B46" s="5" t="inlineStr">
        <is>
          <t>Primary source</t>
        </is>
      </c>
      <c r="C46" s="21" t="inlineStr">
        <is>
          <t>Peach transaction export, reconciled against the sales ledger daily by 09:00 by the Campaign Lead.</t>
        </is>
      </c>
    </row>
    <row r="47" ht="26" customHeight="1">
      <c r="B47" s="5" t="inlineStr">
        <is>
          <t>Attribution to engine</t>
        </is>
      </c>
      <c r="C47" s="21" t="inlineStr">
        <is>
          <t>By the UTM on the link the buyer arrived through, registered in 09_UTM_Register. A sale with no UTM is logged as unattributed.</t>
        </is>
      </c>
    </row>
    <row r="48" ht="26" customHeight="1">
      <c r="B48" s="5" t="inlineStr">
        <is>
          <t>GA4</t>
        </is>
      </c>
      <c r="C48" s="21" t="inlineStr">
        <is>
          <t>Cannot attribute a sale until the purchase event is installed. In this sprint GA4 is used for traffic and page progression only.</t>
        </is>
      </c>
    </row>
    <row r="49" ht="26" customHeight="1">
      <c r="B49" s="5" t="inlineStr">
        <is>
          <t>Deduplication</t>
        </is>
      </c>
      <c r="C49" s="21" t="inlineStr">
        <is>
          <t>On transaction_id. A transaction_id already in the ledger is not counted twice.</t>
        </is>
      </c>
    </row>
    <row r="50" ht="26" customHeight="1">
      <c r="B50" s="5" t="inlineStr">
        <is>
          <t>Cut off</t>
        </is>
      </c>
      <c r="C50" s="21" t="inlineStr">
        <is>
          <t>23:59 each day. A payment clearing after cut off is logged against the following day.</t>
        </is>
      </c>
    </row>
    <row r="52" ht="20" customHeight="1">
      <c r="B52" s="3" t="inlineStr">
        <is>
          <t>Blocked on Gradesmatch dev at the time of writing</t>
        </is>
      </c>
      <c r="C52" s="4" t="n"/>
      <c r="D52" s="4" t="n"/>
      <c r="E52" s="4" t="n"/>
    </row>
    <row r="53" ht="26" customHeight="1">
      <c r="B53" s="11" t="inlineStr">
        <is>
          <t>Item</t>
        </is>
      </c>
      <c r="C53" s="11" t="inlineStr">
        <is>
          <t>Needed by</t>
        </is>
      </c>
      <c r="D53" s="11" t="inlineStr"/>
      <c r="E53" s="11" t="inlineStr">
        <is>
          <t>Effect on this sprint if it does not land</t>
        </is>
      </c>
    </row>
    <row r="54" ht="26" customHeight="1">
      <c r="B54" s="32" t="inlineStr">
        <is>
          <t>GA4 purchase event with value</t>
        </is>
      </c>
      <c r="C54" s="10" t="inlineStr">
        <is>
          <t>Day 1, 24 Aug</t>
        </is>
      </c>
      <c r="E54" s="33" t="inlineStr">
        <is>
          <t>Sprint runs on manual Peach reconciliation. Cost per sale is still measurable. Channel attribution is weaker.</t>
        </is>
      </c>
    </row>
    <row r="55" ht="26" customHeight="1">
      <c r="B55" s="32" t="inlineStr">
        <is>
          <t>Landing page live on bridgeapp.co.za</t>
        </is>
      </c>
      <c r="C55" s="10" t="inlineStr">
        <is>
          <t>Day 1, 24 Aug</t>
        </is>
      </c>
      <c r="E55" s="33" t="inlineStr">
        <is>
          <t>Paid traffic has no dedicated destination and converts lower. Change the URL on every row of 09_UTM_Register before spending.</t>
        </is>
      </c>
    </row>
    <row r="56" ht="26" customHeight="1">
      <c r="B56" s="32" t="inlineStr">
        <is>
          <t>Lead endpoint (window.BRIDGEAPP_LEAD_ENDPOINT)</t>
        </is>
      </c>
      <c r="C56" s="10" t="inlineStr">
        <is>
          <t>Day 1, 24 Aug</t>
        </is>
      </c>
      <c r="E56" s="33" t="inlineStr">
        <is>
          <t>Readiness tracker submissions are not captured, so click to signup stays unmeasured and only click to sale can be read.</t>
        </is>
      </c>
    </row>
  </sheetData>
  <mergeCells count="5">
    <mergeCell ref="C50:E50"/>
    <mergeCell ref="C49:E49"/>
    <mergeCell ref="C48:E48"/>
    <mergeCell ref="C46:E46"/>
    <mergeCell ref="C47:E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50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9" customWidth="1" min="4" max="4"/>
    <col width="50" customWidth="1" min="5" max="5"/>
    <col width="22" customWidth="1" min="6" max="6"/>
    <col width="13" customWidth="1" min="7" max="7"/>
    <col width="12" customWidth="1" min="8" max="8"/>
    <col width="16" customWidth="1" min="9" max="9"/>
  </cols>
  <sheetData>
    <row r="2" ht="27" customHeight="1">
      <c r="B2" s="1" t="inlineStr">
        <is>
          <t>SPRINT PLAN: 14 DAYS</t>
        </is>
      </c>
    </row>
    <row r="3" ht="13" customHeight="1">
      <c r="B3" s="2" t="inlineStr">
        <is>
          <t>Every commitment in the window. GE3 rows are carried from the Phase 2 calendar; they consume team time but carry no sales target in this sprint.</t>
        </is>
      </c>
    </row>
    <row r="5" ht="20" customHeight="1">
      <c r="B5" s="3" t="inlineStr">
        <is>
          <t>Mon 24 Aug to Sun 6 Sep 2026</t>
        </is>
      </c>
      <c r="C5" s="4" t="n"/>
      <c r="D5" s="4" t="n"/>
      <c r="E5" s="4" t="n"/>
      <c r="F5" s="4" t="n"/>
      <c r="G5" s="4" t="n"/>
      <c r="H5" s="4" t="n"/>
      <c r="I5" s="4" t="n"/>
    </row>
    <row r="6" ht="26" customHeight="1">
      <c r="B6" s="11" t="inlineStr">
        <is>
          <t>Day</t>
        </is>
      </c>
      <c r="C6" s="11" t="inlineStr">
        <is>
          <t>Date</t>
        </is>
      </c>
      <c r="D6" s="11" t="inlineStr">
        <is>
          <t>GE</t>
        </is>
      </c>
      <c r="E6" s="11" t="inlineStr">
        <is>
          <t>Deliverable</t>
        </is>
      </c>
      <c r="F6" s="11" t="inlineStr">
        <is>
          <t>Owner</t>
        </is>
      </c>
      <c r="G6" s="11" t="inlineStr">
        <is>
          <t>Due</t>
        </is>
      </c>
      <c r="H6" s="11" t="inlineStr">
        <is>
          <t>Status</t>
        </is>
      </c>
      <c r="I6" s="11" t="inlineStr">
        <is>
          <t>Source</t>
        </is>
      </c>
    </row>
    <row r="7">
      <c r="B7" s="37" t="n">
        <v>1</v>
      </c>
      <c r="C7" s="38" t="n">
        <v>46258</v>
      </c>
      <c r="D7" s="39" t="inlineStr">
        <is>
          <t>ALL</t>
        </is>
      </c>
      <c r="E7" s="6" t="inlineStr">
        <is>
          <t>Sprint drivers locked and signed off</t>
        </is>
      </c>
      <c r="F7" s="6" t="inlineStr">
        <is>
          <t>Campaign Lead</t>
        </is>
      </c>
      <c r="G7" s="13" t="inlineStr">
        <is>
          <t>24 Aug</t>
        </is>
      </c>
      <c r="H7" s="40" t="inlineStr">
        <is>
          <t>PLANNED</t>
        </is>
      </c>
      <c r="I7" s="2" t="inlineStr">
        <is>
          <t>Sprint</t>
        </is>
      </c>
    </row>
    <row r="8">
      <c r="B8" s="37" t="n">
        <v>1</v>
      </c>
      <c r="D8" s="39" t="inlineStr">
        <is>
          <t>ALL</t>
        </is>
      </c>
      <c r="E8" s="6" t="inlineStr">
        <is>
          <t>Every role in 01_Owners has a named person</t>
        </is>
      </c>
      <c r="F8" s="6" t="inlineStr">
        <is>
          <t>Campaign Lead</t>
        </is>
      </c>
      <c r="G8" s="13" t="inlineStr">
        <is>
          <t>24 Aug</t>
        </is>
      </c>
      <c r="H8" s="40" t="inlineStr">
        <is>
          <t>PLANNED</t>
        </is>
      </c>
      <c r="I8" s="2" t="inlineStr">
        <is>
          <t>Sprint</t>
        </is>
      </c>
    </row>
    <row r="9">
      <c r="B9" s="37" t="n">
        <v>1</v>
      </c>
      <c r="D9" s="41" t="inlineStr">
        <is>
          <t>GE1</t>
        </is>
      </c>
      <c r="E9" s="6" t="inlineStr">
        <is>
          <t>09_UTM_Register complete. No link goes live untagged</t>
        </is>
      </c>
      <c r="F9" s="6" t="inlineStr">
        <is>
          <t>Performance Marketer</t>
        </is>
      </c>
      <c r="G9" s="13" t="inlineStr">
        <is>
          <t>24 Aug</t>
        </is>
      </c>
      <c r="H9" s="40" t="inlineStr">
        <is>
          <t>PLANNED</t>
        </is>
      </c>
      <c r="I9" s="2" t="inlineStr">
        <is>
          <t>Sprint</t>
        </is>
      </c>
    </row>
    <row r="10">
      <c r="B10" s="37" t="n">
        <v>1</v>
      </c>
      <c r="D10" s="39" t="inlineStr">
        <is>
          <t>ALL</t>
        </is>
      </c>
      <c r="E10" s="6" t="inlineStr">
        <is>
          <t>Baseline: closing Peach ledger count recorded in 05_Daily_Log</t>
        </is>
      </c>
      <c r="F10" s="6" t="inlineStr">
        <is>
          <t>Campaign Lead</t>
        </is>
      </c>
      <c r="G10" s="13" t="inlineStr">
        <is>
          <t>24 Aug</t>
        </is>
      </c>
      <c r="H10" s="40" t="inlineStr">
        <is>
          <t>PLANNED</t>
        </is>
      </c>
      <c r="I10" s="2" t="inlineStr">
        <is>
          <t>Sprint</t>
        </is>
      </c>
    </row>
    <row r="11">
      <c r="B11" s="37" t="n">
        <v>1</v>
      </c>
      <c r="D11" s="41" t="inlineStr">
        <is>
          <t>GE1</t>
        </is>
      </c>
      <c r="E11" s="6" t="inlineStr">
        <is>
          <t>Paid buy live on Meta against the sprint cap</t>
        </is>
      </c>
      <c r="F11" s="6" t="inlineStr">
        <is>
          <t>Performance Marketer</t>
        </is>
      </c>
      <c r="G11" s="13" t="inlineStr">
        <is>
          <t>24 Aug</t>
        </is>
      </c>
      <c r="H11" s="40" t="inlineStr">
        <is>
          <t>PLANNED</t>
        </is>
      </c>
      <c r="I11" s="2" t="inlineStr">
        <is>
          <t>Sprint</t>
        </is>
      </c>
    </row>
    <row r="12">
      <c r="B12" s="37" t="n">
        <v>1</v>
      </c>
      <c r="D12" s="42" t="inlineStr">
        <is>
          <t>GE2</t>
        </is>
      </c>
      <c r="E12" s="6" t="inlineStr">
        <is>
          <t>Week 1 visit schedule confirmed with each school</t>
        </is>
      </c>
      <c r="F12" s="6" t="inlineStr">
        <is>
          <t>Schools Coordinator</t>
        </is>
      </c>
      <c r="G12" s="13" t="inlineStr">
        <is>
          <t>24 Aug</t>
        </is>
      </c>
      <c r="H12" s="40" t="inlineStr">
        <is>
          <t>PLANNED</t>
        </is>
      </c>
      <c r="I12" s="2" t="inlineStr">
        <is>
          <t>Sprint</t>
        </is>
      </c>
    </row>
    <row r="13">
      <c r="B13" s="37" t="n">
        <v>1</v>
      </c>
      <c r="D13" s="39" t="inlineStr">
        <is>
          <t>ALL</t>
        </is>
      </c>
      <c r="E13" s="6" t="inlineStr">
        <is>
          <t>Escalation sent to Gradesmatch dev on the three blocked items</t>
        </is>
      </c>
      <c r="F13" s="6" t="inlineStr">
        <is>
          <t>Campaign Lead</t>
        </is>
      </c>
      <c r="G13" s="13" t="inlineStr">
        <is>
          <t>24 Aug</t>
        </is>
      </c>
      <c r="H13" s="40" t="inlineStr">
        <is>
          <t>PLANNED</t>
        </is>
      </c>
      <c r="I13" s="22" t="inlineStr">
        <is>
          <t>Blocked: dev</t>
        </is>
      </c>
    </row>
    <row r="14">
      <c r="B14" s="37" t="n">
        <v>2</v>
      </c>
      <c r="C14" s="38" t="n">
        <v>46259</v>
      </c>
      <c r="D14" s="41" t="inlineStr">
        <is>
          <t>GE1</t>
        </is>
      </c>
      <c r="E14" s="6" t="inlineStr">
        <is>
          <t>First 24 hour read. Pull any creative below the CTR floor</t>
        </is>
      </c>
      <c r="F14" s="6" t="inlineStr">
        <is>
          <t>Performance Marketer</t>
        </is>
      </c>
      <c r="G14" s="13" t="inlineStr">
        <is>
          <t>25 Aug</t>
        </is>
      </c>
      <c r="H14" s="40" t="inlineStr">
        <is>
          <t>PLANNED</t>
        </is>
      </c>
      <c r="I14" s="2" t="inlineStr">
        <is>
          <t>Sprint</t>
        </is>
      </c>
    </row>
    <row r="15">
      <c r="B15" s="37" t="n">
        <v>2</v>
      </c>
      <c r="D15" s="42" t="inlineStr">
        <is>
          <t>GE2</t>
        </is>
      </c>
      <c r="E15" s="6" t="inlineStr">
        <is>
          <t>School visits 1 and 2</t>
        </is>
      </c>
      <c r="F15" s="6" t="inlineStr">
        <is>
          <t>Schools Coordinator</t>
        </is>
      </c>
      <c r="G15" s="13" t="inlineStr">
        <is>
          <t>25 Aug</t>
        </is>
      </c>
      <c r="H15" s="40" t="inlineStr">
        <is>
          <t>PLANNED</t>
        </is>
      </c>
      <c r="I15" s="2" t="inlineStr">
        <is>
          <t>Sprint</t>
        </is>
      </c>
    </row>
    <row r="16">
      <c r="B16" s="37" t="n">
        <v>2</v>
      </c>
      <c r="D16" s="41" t="inlineStr">
        <is>
          <t>GE1</t>
        </is>
      </c>
      <c r="E16" s="6" t="inlineStr">
        <is>
          <t>FC 25K Push continues, paid and organic</t>
        </is>
      </c>
      <c r="F16" s="6" t="inlineStr">
        <is>
          <t>Performance Marketer</t>
        </is>
      </c>
      <c r="G16" s="13" t="inlineStr">
        <is>
          <t>Continuous</t>
        </is>
      </c>
      <c r="H16" s="40" t="inlineStr">
        <is>
          <t>PLANNED</t>
        </is>
      </c>
      <c r="I16" s="2" t="inlineStr">
        <is>
          <t>v4 Calendar</t>
        </is>
      </c>
    </row>
    <row r="17">
      <c r="B17" s="37" t="n">
        <v>3</v>
      </c>
      <c r="C17" s="38" t="n">
        <v>46260</v>
      </c>
      <c r="D17" s="42" t="inlineStr">
        <is>
          <t>GE2</t>
        </is>
      </c>
      <c r="E17" s="6" t="inlineStr">
        <is>
          <t>School visits 3 and 4</t>
        </is>
      </c>
      <c r="F17" s="6" t="inlineStr">
        <is>
          <t>Schools Coordinator</t>
        </is>
      </c>
      <c r="G17" s="13" t="inlineStr">
        <is>
          <t>26 Aug</t>
        </is>
      </c>
      <c r="H17" s="40" t="inlineStr">
        <is>
          <t>PLANNED</t>
        </is>
      </c>
      <c r="I17" s="2" t="inlineStr">
        <is>
          <t>Sprint</t>
        </is>
      </c>
    </row>
    <row r="18">
      <c r="B18" s="37" t="n">
        <v>3</v>
      </c>
      <c r="D18" s="41" t="inlineStr">
        <is>
          <t>GE1</t>
        </is>
      </c>
      <c r="E18" s="6" t="inlineStr">
        <is>
          <t>Creative variant set 2 live</t>
        </is>
      </c>
      <c r="F18" s="6" t="inlineStr">
        <is>
          <t>Designer</t>
        </is>
      </c>
      <c r="G18" s="13" t="inlineStr">
        <is>
          <t>26 Aug</t>
        </is>
      </c>
      <c r="H18" s="40" t="inlineStr">
        <is>
          <t>PLANNED</t>
        </is>
      </c>
      <c r="I18" s="2" t="inlineStr">
        <is>
          <t>Sprint</t>
        </is>
      </c>
    </row>
    <row r="19">
      <c r="B19" s="37" t="n">
        <v>3</v>
      </c>
      <c r="D19" s="43" t="inlineStr">
        <is>
          <t>GE3</t>
        </is>
      </c>
      <c r="E19" s="6" t="inlineStr">
        <is>
          <t>BMW Golf Clinic invitee list sent</t>
        </is>
      </c>
      <c r="F19" s="6" t="inlineStr">
        <is>
          <t>Strategy Lead</t>
        </is>
      </c>
      <c r="G19" s="13" t="inlineStr">
        <is>
          <t>26 Aug</t>
        </is>
      </c>
      <c r="H19" s="40" t="inlineStr">
        <is>
          <t>PLANNED</t>
        </is>
      </c>
      <c r="I19" s="2" t="inlineStr">
        <is>
          <t>v4 Calendar</t>
        </is>
      </c>
    </row>
    <row r="20">
      <c r="B20" s="37" t="n">
        <v>4</v>
      </c>
      <c r="C20" s="38" t="n">
        <v>46261</v>
      </c>
      <c r="D20" s="41" t="inlineStr">
        <is>
          <t>GE1</t>
        </is>
      </c>
      <c r="E20" s="6" t="inlineStr">
        <is>
          <t>UniApply matric urgency push live</t>
        </is>
      </c>
      <c r="F20" s="6" t="inlineStr">
        <is>
          <t>Performance Marketer</t>
        </is>
      </c>
      <c r="G20" s="13" t="inlineStr">
        <is>
          <t>27 Aug</t>
        </is>
      </c>
      <c r="H20" s="40" t="inlineStr">
        <is>
          <t>PLANNED</t>
        </is>
      </c>
      <c r="I20" s="2" t="inlineStr">
        <is>
          <t>v4 Calendar</t>
        </is>
      </c>
    </row>
    <row r="21">
      <c r="B21" s="37" t="n">
        <v>4</v>
      </c>
      <c r="D21" s="42" t="inlineStr">
        <is>
          <t>GE2</t>
        </is>
      </c>
      <c r="E21" s="6" t="inlineStr">
        <is>
          <t>School visits 5 and 6</t>
        </is>
      </c>
      <c r="F21" s="6" t="inlineStr">
        <is>
          <t>Schools Coordinator</t>
        </is>
      </c>
      <c r="G21" s="13" t="inlineStr">
        <is>
          <t>27 Aug</t>
        </is>
      </c>
      <c r="H21" s="40" t="inlineStr">
        <is>
          <t>PLANNED</t>
        </is>
      </c>
      <c r="I21" s="2" t="inlineStr">
        <is>
          <t>Sprint</t>
        </is>
      </c>
    </row>
    <row r="22">
      <c r="B22" s="37" t="n">
        <v>4</v>
      </c>
      <c r="D22" s="39" t="inlineStr">
        <is>
          <t>ALL</t>
        </is>
      </c>
      <c r="E22" s="6" t="inlineStr">
        <is>
          <t>Mid week reconciliation check against Peach</t>
        </is>
      </c>
      <c r="F22" s="6" t="inlineStr">
        <is>
          <t>Campaign Lead</t>
        </is>
      </c>
      <c r="G22" s="13" t="inlineStr">
        <is>
          <t>27 Aug</t>
        </is>
      </c>
      <c r="H22" s="40" t="inlineStr">
        <is>
          <t>PLANNED</t>
        </is>
      </c>
      <c r="I22" s="2" t="inlineStr">
        <is>
          <t>Sprint</t>
        </is>
      </c>
    </row>
    <row r="23">
      <c r="B23" s="37" t="n">
        <v>5</v>
      </c>
      <c r="C23" s="38" t="n">
        <v>46262</v>
      </c>
      <c r="D23" s="41" t="inlineStr">
        <is>
          <t>GE1</t>
        </is>
      </c>
      <c r="E23" s="6" t="inlineStr">
        <is>
          <t>Influencer Wave 3, GP creator, content live</t>
        </is>
      </c>
      <c r="F23" s="6" t="inlineStr">
        <is>
          <t>Creator Manager</t>
        </is>
      </c>
      <c r="G23" s="13" t="inlineStr">
        <is>
          <t>28 Aug</t>
        </is>
      </c>
      <c r="H23" s="40" t="inlineStr">
        <is>
          <t>PLANNED</t>
        </is>
      </c>
      <c r="I23" s="2" t="inlineStr">
        <is>
          <t>v4 Calendar</t>
        </is>
      </c>
    </row>
    <row r="24">
      <c r="B24" s="37" t="n">
        <v>5</v>
      </c>
      <c r="D24" s="42" t="inlineStr">
        <is>
          <t>GE2</t>
        </is>
      </c>
      <c r="E24" s="6" t="inlineStr">
        <is>
          <t>Week 1 visit results logged in 08_School_Visits</t>
        </is>
      </c>
      <c r="F24" s="6" t="inlineStr">
        <is>
          <t>Schools Coordinator</t>
        </is>
      </c>
      <c r="G24" s="13" t="inlineStr">
        <is>
          <t>28 Aug</t>
        </is>
      </c>
      <c r="H24" s="40" t="inlineStr">
        <is>
          <t>PLANNED</t>
        </is>
      </c>
      <c r="I24" s="2" t="inlineStr">
        <is>
          <t>Sprint</t>
        </is>
      </c>
    </row>
    <row r="25">
      <c r="B25" s="37" t="n">
        <v>5</v>
      </c>
      <c r="D25" s="39" t="inlineStr">
        <is>
          <t>ALL</t>
        </is>
      </c>
      <c r="E25" s="6" t="inlineStr">
        <is>
          <t>Week 1 working book updated</t>
        </is>
      </c>
      <c r="F25" s="6" t="inlineStr">
        <is>
          <t>Campaign Lead</t>
        </is>
      </c>
      <c r="G25" s="13" t="inlineStr">
        <is>
          <t>28 Aug</t>
        </is>
      </c>
      <c r="H25" s="40" t="inlineStr">
        <is>
          <t>PLANNED</t>
        </is>
      </c>
      <c r="I25" s="2" t="inlineStr">
        <is>
          <t>Sprint</t>
        </is>
      </c>
    </row>
    <row r="26">
      <c r="B26" s="37" t="n">
        <v>5</v>
      </c>
      <c r="D26" s="43" t="inlineStr">
        <is>
          <t>GE3</t>
        </is>
      </c>
      <c r="E26" s="6" t="inlineStr">
        <is>
          <t>Podcast pilot episode format lock</t>
        </is>
      </c>
      <c r="F26" s="6" t="inlineStr">
        <is>
          <t>Content Producer</t>
        </is>
      </c>
      <c r="G26" s="13" t="inlineStr">
        <is>
          <t>28 Aug</t>
        </is>
      </c>
      <c r="H26" s="40" t="inlineStr">
        <is>
          <t>PLANNED</t>
        </is>
      </c>
      <c r="I26" s="2" t="inlineStr">
        <is>
          <t>v4 Calendar</t>
        </is>
      </c>
    </row>
    <row r="27">
      <c r="B27" s="37" t="n">
        <v>6</v>
      </c>
      <c r="C27" s="38" t="n">
        <v>46263</v>
      </c>
      <c r="D27" s="41" t="inlineStr">
        <is>
          <t>GE1</t>
        </is>
      </c>
      <c r="E27" s="6" t="inlineStr">
        <is>
          <t>Weekend spend read. No new creative</t>
        </is>
      </c>
      <c r="F27" s="6" t="inlineStr">
        <is>
          <t>Performance Marketer</t>
        </is>
      </c>
      <c r="G27" s="13" t="inlineStr">
        <is>
          <t>29 Aug</t>
        </is>
      </c>
      <c r="H27" s="40" t="inlineStr">
        <is>
          <t>PLANNED</t>
        </is>
      </c>
      <c r="I27" s="2" t="inlineStr">
        <is>
          <t>Sprint</t>
        </is>
      </c>
    </row>
    <row r="28">
      <c r="B28" s="37" t="n">
        <v>6</v>
      </c>
      <c r="D28" s="41" t="inlineStr">
        <is>
          <t>GE1</t>
        </is>
      </c>
      <c r="E28" s="6" t="inlineStr">
        <is>
          <t>Organic conversion post, both channels</t>
        </is>
      </c>
      <c r="F28" s="6" t="inlineStr">
        <is>
          <t>Content Producer</t>
        </is>
      </c>
      <c r="G28" s="13" t="inlineStr">
        <is>
          <t>29 Aug</t>
        </is>
      </c>
      <c r="H28" s="40" t="inlineStr">
        <is>
          <t>PLANNED</t>
        </is>
      </c>
      <c r="I28" s="2" t="inlineStr">
        <is>
          <t>Sprint</t>
        </is>
      </c>
    </row>
    <row r="29">
      <c r="B29" s="37" t="n">
        <v>7</v>
      </c>
      <c r="C29" s="38" t="n">
        <v>46264</v>
      </c>
      <c r="D29" s="41" t="inlineStr">
        <is>
          <t>GE1</t>
        </is>
      </c>
      <c r="E29" s="6" t="inlineStr">
        <is>
          <t>Week 1 close. Cost per sale for week 1 computed</t>
        </is>
      </c>
      <c r="F29" s="6" t="inlineStr">
        <is>
          <t>Performance Marketer</t>
        </is>
      </c>
      <c r="G29" s="13" t="inlineStr">
        <is>
          <t>30 Aug</t>
        </is>
      </c>
      <c r="H29" s="40" t="inlineStr">
        <is>
          <t>PLANNED</t>
        </is>
      </c>
      <c r="I29" s="2" t="inlineStr">
        <is>
          <t>Sprint</t>
        </is>
      </c>
    </row>
    <row r="30">
      <c r="B30" s="37" t="n">
        <v>8</v>
      </c>
      <c r="C30" s="38" t="n">
        <v>46265</v>
      </c>
      <c r="D30" s="39" t="inlineStr">
        <is>
          <t>ALL</t>
        </is>
      </c>
      <c r="E30" s="6" t="inlineStr">
        <is>
          <t>Week 1 review at stand up. 10_KPIs read before anything else</t>
        </is>
      </c>
      <c r="F30" s="6" t="inlineStr">
        <is>
          <t>Campaign Lead</t>
        </is>
      </c>
      <c r="G30" s="13" t="inlineStr">
        <is>
          <t>31 Aug</t>
        </is>
      </c>
      <c r="H30" s="40" t="inlineStr">
        <is>
          <t>PLANNED</t>
        </is>
      </c>
      <c r="I30" s="2" t="inlineStr">
        <is>
          <t>Sprint</t>
        </is>
      </c>
    </row>
    <row r="31">
      <c r="B31" s="37" t="n">
        <v>8</v>
      </c>
      <c r="D31" s="41" t="inlineStr">
        <is>
          <t>GE1</t>
        </is>
      </c>
      <c r="E31" s="6" t="inlineStr">
        <is>
          <t>Reallocate spend across channels, inside the cap</t>
        </is>
      </c>
      <c r="F31" s="6" t="inlineStr">
        <is>
          <t>Performance Marketer</t>
        </is>
      </c>
      <c r="G31" s="13" t="inlineStr">
        <is>
          <t>31 Aug</t>
        </is>
      </c>
      <c r="H31" s="40" t="inlineStr">
        <is>
          <t>PLANNED</t>
        </is>
      </c>
      <c r="I31" s="2" t="inlineStr">
        <is>
          <t>Sprint</t>
        </is>
      </c>
    </row>
    <row r="32">
      <c r="B32" s="37" t="n">
        <v>8</v>
      </c>
      <c r="D32" s="42" t="inlineStr">
        <is>
          <t>GE2</t>
        </is>
      </c>
      <c r="E32" s="6" t="inlineStr">
        <is>
          <t>Week 2 visit schedule confirmed</t>
        </is>
      </c>
      <c r="F32" s="6" t="inlineStr">
        <is>
          <t>Schools Coordinator</t>
        </is>
      </c>
      <c r="G32" s="13" t="inlineStr">
        <is>
          <t>31 Aug</t>
        </is>
      </c>
      <c r="H32" s="40" t="inlineStr">
        <is>
          <t>PLANNED</t>
        </is>
      </c>
      <c r="I32" s="2" t="inlineStr">
        <is>
          <t>Sprint</t>
        </is>
      </c>
    </row>
    <row r="33">
      <c r="B33" s="37" t="n">
        <v>8</v>
      </c>
      <c r="D33" s="43" t="inlineStr">
        <is>
          <t>GE3</t>
        </is>
      </c>
      <c r="E33" s="6" t="inlineStr">
        <is>
          <t>BMW and Porsche negotiation close, signature</t>
        </is>
      </c>
      <c r="F33" s="6" t="inlineStr">
        <is>
          <t>Strategy Lead</t>
        </is>
      </c>
      <c r="G33" s="13" t="inlineStr">
        <is>
          <t>31 Aug</t>
        </is>
      </c>
      <c r="H33" s="40" t="inlineStr">
        <is>
          <t>PLANNED</t>
        </is>
      </c>
      <c r="I33" s="2" t="inlineStr">
        <is>
          <t>v4 Calendar</t>
        </is>
      </c>
    </row>
    <row r="34">
      <c r="B34" s="37" t="n">
        <v>9</v>
      </c>
      <c r="C34" s="38" t="n">
        <v>46266</v>
      </c>
      <c r="D34" s="42" t="inlineStr">
        <is>
          <t>GE2</t>
        </is>
      </c>
      <c r="E34" s="6" t="inlineStr">
        <is>
          <t>School visits 7 and 8</t>
        </is>
      </c>
      <c r="F34" s="6" t="inlineStr">
        <is>
          <t>Schools Coordinator</t>
        </is>
      </c>
      <c r="G34" s="13" t="inlineStr">
        <is>
          <t>1 Sep</t>
        </is>
      </c>
      <c r="H34" s="40" t="inlineStr">
        <is>
          <t>PLANNED</t>
        </is>
      </c>
      <c r="I34" s="2" t="inlineStr">
        <is>
          <t>Sprint</t>
        </is>
      </c>
    </row>
    <row r="35">
      <c r="B35" s="37" t="n">
        <v>9</v>
      </c>
      <c r="D35" s="42" t="inlineStr">
        <is>
          <t>GE2</t>
        </is>
      </c>
      <c r="E35" s="6" t="inlineStr">
        <is>
          <t>Conference follow up and MOU push begins</t>
        </is>
      </c>
      <c r="F35" s="6" t="inlineStr">
        <is>
          <t>Schools Coordinator</t>
        </is>
      </c>
      <c r="G35" s="13" t="inlineStr">
        <is>
          <t>1 Sep</t>
        </is>
      </c>
      <c r="H35" s="40" t="inlineStr">
        <is>
          <t>PLANNED</t>
        </is>
      </c>
      <c r="I35" s="2" t="inlineStr">
        <is>
          <t>v4 Calendar</t>
        </is>
      </c>
    </row>
    <row r="36">
      <c r="B36" s="37" t="n">
        <v>9</v>
      </c>
      <c r="D36" s="42" t="inlineStr">
        <is>
          <t>GE2</t>
        </is>
      </c>
      <c r="E36" s="6" t="inlineStr">
        <is>
          <t>SAHISA Durban prep begins, conference 13 to 16 Sep</t>
        </is>
      </c>
      <c r="F36" s="6" t="inlineStr">
        <is>
          <t>Schools Coordinator</t>
        </is>
      </c>
      <c r="G36" s="13" t="inlineStr">
        <is>
          <t>1 Sep</t>
        </is>
      </c>
      <c r="H36" s="40" t="inlineStr">
        <is>
          <t>PLANNED</t>
        </is>
      </c>
      <c r="I36" s="2" t="inlineStr">
        <is>
          <t>v4 Calendar</t>
        </is>
      </c>
    </row>
    <row r="37">
      <c r="B37" s="37" t="n">
        <v>9</v>
      </c>
      <c r="D37" s="41" t="inlineStr">
        <is>
          <t>GE1</t>
        </is>
      </c>
      <c r="E37" s="6" t="inlineStr">
        <is>
          <t>Creative variant set 3 live</t>
        </is>
      </c>
      <c r="F37" s="6" t="inlineStr">
        <is>
          <t>Designer</t>
        </is>
      </c>
      <c r="G37" s="13" t="inlineStr">
        <is>
          <t>1 Sep</t>
        </is>
      </c>
      <c r="H37" s="40" t="inlineStr">
        <is>
          <t>PLANNED</t>
        </is>
      </c>
      <c r="I37" s="2" t="inlineStr">
        <is>
          <t>Sprint</t>
        </is>
      </c>
    </row>
    <row r="38">
      <c r="B38" s="37" t="n">
        <v>10</v>
      </c>
      <c r="C38" s="38" t="n">
        <v>46267</v>
      </c>
      <c r="D38" s="42" t="inlineStr">
        <is>
          <t>GE2</t>
        </is>
      </c>
      <c r="E38" s="6" t="inlineStr">
        <is>
          <t>School visits 9 and 10</t>
        </is>
      </c>
      <c r="F38" s="6" t="inlineStr">
        <is>
          <t>Schools Coordinator</t>
        </is>
      </c>
      <c r="G38" s="13" t="inlineStr">
        <is>
          <t>2 Sep</t>
        </is>
      </c>
      <c r="H38" s="40" t="inlineStr">
        <is>
          <t>PLANNED</t>
        </is>
      </c>
      <c r="I38" s="2" t="inlineStr">
        <is>
          <t>Sprint</t>
        </is>
      </c>
    </row>
    <row r="39">
      <c r="B39" s="37" t="n">
        <v>10</v>
      </c>
      <c r="D39" s="41" t="inlineStr">
        <is>
          <t>GE1</t>
        </is>
      </c>
      <c r="E39" s="6" t="inlineStr">
        <is>
          <t>Mid sprint cost per sale read against target</t>
        </is>
      </c>
      <c r="F39" s="6" t="inlineStr">
        <is>
          <t>Performance Marketer</t>
        </is>
      </c>
      <c r="G39" s="13" t="inlineStr">
        <is>
          <t>2 Sep</t>
        </is>
      </c>
      <c r="H39" s="40" t="inlineStr">
        <is>
          <t>PLANNED</t>
        </is>
      </c>
      <c r="I39" s="2" t="inlineStr">
        <is>
          <t>Sprint</t>
        </is>
      </c>
    </row>
    <row r="40">
      <c r="B40" s="37" t="n">
        <v>11</v>
      </c>
      <c r="C40" s="38" t="n">
        <v>46268</v>
      </c>
      <c r="D40" s="42" t="inlineStr">
        <is>
          <t>GE2</t>
        </is>
      </c>
      <c r="E40" s="6" t="inlineStr">
        <is>
          <t>School visits 11 and 12</t>
        </is>
      </c>
      <c r="F40" s="6" t="inlineStr">
        <is>
          <t>Schools Coordinator</t>
        </is>
      </c>
      <c r="G40" s="13" t="inlineStr">
        <is>
          <t>3 Sep</t>
        </is>
      </c>
      <c r="H40" s="40" t="inlineStr">
        <is>
          <t>PLANNED</t>
        </is>
      </c>
      <c r="I40" s="2" t="inlineStr">
        <is>
          <t>Sprint</t>
        </is>
      </c>
    </row>
    <row r="41">
      <c r="B41" s="37" t="n">
        <v>11</v>
      </c>
      <c r="D41" s="41" t="inlineStr">
        <is>
          <t>GE1</t>
        </is>
      </c>
      <c r="E41" s="6" t="inlineStr">
        <is>
          <t>Pause any channel running above twice target cost per sale</t>
        </is>
      </c>
      <c r="F41" s="6" t="inlineStr">
        <is>
          <t>Performance Marketer</t>
        </is>
      </c>
      <c r="G41" s="13" t="inlineStr">
        <is>
          <t>3 Sep</t>
        </is>
      </c>
      <c r="H41" s="40" t="inlineStr">
        <is>
          <t>PLANNED</t>
        </is>
      </c>
      <c r="I41" s="2" t="inlineStr">
        <is>
          <t>Sprint</t>
        </is>
      </c>
    </row>
    <row r="42">
      <c r="B42" s="37" t="n">
        <v>12</v>
      </c>
      <c r="C42" s="38" t="n">
        <v>46269</v>
      </c>
      <c r="D42" s="39" t="inlineStr">
        <is>
          <t>ALL</t>
        </is>
      </c>
      <c r="E42" s="6" t="inlineStr">
        <is>
          <t>Week 2 working book updated</t>
        </is>
      </c>
      <c r="F42" s="6" t="inlineStr">
        <is>
          <t>Campaign Lead</t>
        </is>
      </c>
      <c r="G42" s="13" t="inlineStr">
        <is>
          <t>4 Sep</t>
        </is>
      </c>
      <c r="H42" s="40" t="inlineStr">
        <is>
          <t>PLANNED</t>
        </is>
      </c>
      <c r="I42" s="2" t="inlineStr">
        <is>
          <t>Sprint</t>
        </is>
      </c>
    </row>
    <row r="43">
      <c r="B43" s="37" t="n">
        <v>12</v>
      </c>
      <c r="D43" s="42" t="inlineStr">
        <is>
          <t>GE2</t>
        </is>
      </c>
      <c r="E43" s="6" t="inlineStr">
        <is>
          <t>Week 2 visit results logged</t>
        </is>
      </c>
      <c r="F43" s="6" t="inlineStr">
        <is>
          <t>Schools Coordinator</t>
        </is>
      </c>
      <c r="G43" s="13" t="inlineStr">
        <is>
          <t>4 Sep</t>
        </is>
      </c>
      <c r="H43" s="40" t="inlineStr">
        <is>
          <t>PLANNED</t>
        </is>
      </c>
      <c r="I43" s="2" t="inlineStr">
        <is>
          <t>Sprint</t>
        </is>
      </c>
    </row>
    <row r="44">
      <c r="B44" s="37" t="n">
        <v>13</v>
      </c>
      <c r="C44" s="38" t="n">
        <v>46270</v>
      </c>
      <c r="D44" s="41" t="inlineStr">
        <is>
          <t>GE1</t>
        </is>
      </c>
      <c r="E44" s="6" t="inlineStr">
        <is>
          <t>Organic conversion post, both channels</t>
        </is>
      </c>
      <c r="F44" s="6" t="inlineStr">
        <is>
          <t>Content Producer</t>
        </is>
      </c>
      <c r="G44" s="13" t="inlineStr">
        <is>
          <t>5 Sep</t>
        </is>
      </c>
      <c r="H44" s="40" t="inlineStr">
        <is>
          <t>PLANNED</t>
        </is>
      </c>
      <c r="I44" s="2" t="inlineStr">
        <is>
          <t>Sprint</t>
        </is>
      </c>
    </row>
    <row r="45">
      <c r="B45" s="37" t="n">
        <v>13</v>
      </c>
      <c r="D45" s="41" t="inlineStr">
        <is>
          <t>GE1</t>
        </is>
      </c>
      <c r="E45" s="6" t="inlineStr">
        <is>
          <t>Weekend spend read</t>
        </is>
      </c>
      <c r="F45" s="6" t="inlineStr">
        <is>
          <t>Performance Marketer</t>
        </is>
      </c>
      <c r="G45" s="13" t="inlineStr">
        <is>
          <t>5 Sep</t>
        </is>
      </c>
      <c r="H45" s="40" t="inlineStr">
        <is>
          <t>PLANNED</t>
        </is>
      </c>
      <c r="I45" s="2" t="inlineStr">
        <is>
          <t>Sprint</t>
        </is>
      </c>
    </row>
    <row r="46">
      <c r="B46" s="37" t="n">
        <v>14</v>
      </c>
      <c r="C46" s="38" t="n">
        <v>46271</v>
      </c>
      <c r="D46" s="39" t="inlineStr">
        <is>
          <t>ALL</t>
        </is>
      </c>
      <c r="E46" s="6" t="inlineStr">
        <is>
          <t>Final Peach reconciliation for the sprint</t>
        </is>
      </c>
      <c r="F46" s="6" t="inlineStr">
        <is>
          <t>Campaign Lead</t>
        </is>
      </c>
      <c r="G46" s="13" t="inlineStr">
        <is>
          <t>6 Sep</t>
        </is>
      </c>
      <c r="H46" s="40" t="inlineStr">
        <is>
          <t>PLANNED</t>
        </is>
      </c>
      <c r="I46" s="2" t="inlineStr">
        <is>
          <t>Sprint</t>
        </is>
      </c>
    </row>
    <row r="47">
      <c r="B47" s="37" t="n">
        <v>14</v>
      </c>
      <c r="D47" s="39" t="inlineStr">
        <is>
          <t>ALL</t>
        </is>
      </c>
      <c r="E47" s="6" t="inlineStr">
        <is>
          <t>11_Go_No_Go completed and sent to MD</t>
        </is>
      </c>
      <c r="F47" s="6" t="inlineStr">
        <is>
          <t>Campaign Lead</t>
        </is>
      </c>
      <c r="G47" s="13" t="inlineStr">
        <is>
          <t>6 Sep</t>
        </is>
      </c>
      <c r="H47" s="40" t="inlineStr">
        <is>
          <t>PLANNED</t>
        </is>
      </c>
      <c r="I47" s="2" t="inlineStr">
        <is>
          <t>Sprint</t>
        </is>
      </c>
    </row>
    <row r="49">
      <c r="B49" s="2" t="inlineStr">
        <is>
          <t>Status values: PLANNED / DOING / DONE / SLIPPED / DROPPED. Anything not DONE on its due date is raised at the next stand up.</t>
        </is>
      </c>
    </row>
    <row r="50">
      <c r="B50" s="2" t="inlineStr">
        <is>
          <t>School visits: 6 per week is the visit target. The Phase 2 v4 GE2 KPI of 25 per week is calls plus visits combined, so 19 calls per week sit alongside these.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0"/>
  <sheetViews>
    <sheetView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6" customWidth="1" min="3" max="3"/>
    <col width="13" customWidth="1" min="4" max="4"/>
    <col width="11" customWidth="1" min="5" max="5"/>
    <col width="12" customWidth="1" min="6" max="6"/>
    <col width="11" customWidth="1" min="7" max="7"/>
    <col width="11" customWidth="1" min="8" max="8"/>
    <col width="10" customWidth="1" min="9" max="9"/>
    <col width="13" customWidth="1" min="10" max="10"/>
    <col width="11" customWidth="1" min="11" max="11"/>
    <col width="11" customWidth="1" min="12" max="12"/>
    <col width="13" customWidth="1" min="13" max="13"/>
    <col width="13" customWidth="1" min="14" max="14"/>
    <col width="11" customWidth="1" min="15" max="15"/>
    <col width="34" customWidth="1" min="16" max="16"/>
  </cols>
  <sheetData>
    <row r="2" ht="27" customHeight="1">
      <c r="B2" s="1" t="inlineStr">
        <is>
          <t>DAILY LOG</t>
        </is>
      </c>
    </row>
    <row r="3" ht="13" customHeight="1">
      <c r="B3" s="2" t="inlineStr">
        <is>
          <t>The only sheet anyone types numbers into. Filled every morning for the day before, by 09:00. Every other sheet reads from here.</t>
        </is>
      </c>
    </row>
    <row r="5" ht="20" customHeight="1">
      <c r="B5" s="3" t="inlineStr">
        <is>
          <t>Type into the yellow cells only. Grey columns are calculated.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E6" s="44" t="inlineStr">
        <is>
          <t>GE1: PAID MEDIA</t>
        </is>
      </c>
      <c r="I6" s="45" t="inlineStr">
        <is>
          <t>GE2: SCHOOL OUTREACH</t>
        </is>
      </c>
      <c r="M6" s="46" t="inlineStr">
        <is>
          <t>CALCULATED</t>
        </is>
      </c>
    </row>
    <row r="7" ht="26" customHeight="1">
      <c r="B7" s="11" t="inlineStr">
        <is>
          <t>Date</t>
        </is>
      </c>
      <c r="C7" s="11" t="inlineStr">
        <is>
          <t>Day</t>
        </is>
      </c>
      <c r="D7" s="11" t="inlineStr">
        <is>
          <t>Spend (R)</t>
        </is>
      </c>
      <c r="E7" s="11" t="inlineStr">
        <is>
          <t>Clicks</t>
        </is>
      </c>
      <c r="F7" s="11" t="inlineStr">
        <is>
          <t>Signups</t>
        </is>
      </c>
      <c r="G7" s="11" t="inlineStr">
        <is>
          <t>Sales</t>
        </is>
      </c>
      <c r="H7" s="11" t="inlineStr">
        <is>
          <t>Schools visited</t>
        </is>
      </c>
      <c r="I7" s="11" t="inlineStr">
        <is>
          <t>Calls</t>
        </is>
      </c>
      <c r="J7" s="11" t="inlineStr">
        <is>
          <t>Signups captured</t>
        </is>
      </c>
      <c r="K7" s="11" t="inlineStr">
        <is>
          <t>Sales</t>
        </is>
      </c>
      <c r="L7" s="11" t="inlineStr">
        <is>
          <t>Total sales</t>
        </is>
      </c>
      <c r="M7" s="11" t="inlineStr">
        <is>
          <t>Cumulative</t>
        </is>
      </c>
      <c r="N7" s="11" t="inlineStr">
        <is>
          <t>Target cum.</t>
        </is>
      </c>
      <c r="O7" s="11" t="inlineStr">
        <is>
          <t>Variance</t>
        </is>
      </c>
      <c r="P7" s="11" t="inlineStr">
        <is>
          <t>Note</t>
        </is>
      </c>
    </row>
    <row r="8">
      <c r="B8" s="38" t="n">
        <v>46258</v>
      </c>
      <c r="C8" s="47" t="n">
        <v>1</v>
      </c>
      <c r="D8" s="35" t="n"/>
      <c r="E8" s="26" t="n"/>
      <c r="F8" s="26" t="n"/>
      <c r="G8" s="26" t="n"/>
      <c r="H8" s="26" t="n"/>
      <c r="I8" s="26" t="n"/>
      <c r="J8" s="26" t="n"/>
      <c r="K8" s="26" t="n"/>
      <c r="L8" s="48">
        <f>G8+K8</f>
        <v/>
      </c>
      <c r="M8" s="48">
        <f>SUM($L$8:L8)</f>
        <v/>
      </c>
      <c r="N8" s="49">
        <f>ROUND('03_Sprint_Drivers'!$C$14/'03_Sprint_Drivers'!$C$9*C8,0)</f>
        <v/>
      </c>
      <c r="O8" s="57">
        <f>M8-N8</f>
        <v/>
      </c>
      <c r="P8" s="12" t="n"/>
    </row>
    <row r="9">
      <c r="B9" s="38" t="n">
        <v>46259</v>
      </c>
      <c r="C9" s="47" t="n">
        <v>2</v>
      </c>
      <c r="D9" s="35" t="n"/>
      <c r="E9" s="26" t="n"/>
      <c r="F9" s="26" t="n"/>
      <c r="G9" s="26" t="n"/>
      <c r="H9" s="26" t="n"/>
      <c r="I9" s="26" t="n"/>
      <c r="J9" s="26" t="n"/>
      <c r="K9" s="26" t="n"/>
      <c r="L9" s="48">
        <f>G9+K9</f>
        <v/>
      </c>
      <c r="M9" s="48">
        <f>SUM($L$8:L9)</f>
        <v/>
      </c>
      <c r="N9" s="49">
        <f>ROUND('03_Sprint_Drivers'!$C$14/'03_Sprint_Drivers'!$C$9*C9,0)</f>
        <v/>
      </c>
      <c r="O9" s="57">
        <f>M9-N9</f>
        <v/>
      </c>
      <c r="P9" s="12" t="n"/>
    </row>
    <row r="10">
      <c r="B10" s="38" t="n">
        <v>46260</v>
      </c>
      <c r="C10" s="47" t="n">
        <v>3</v>
      </c>
      <c r="D10" s="35" t="n"/>
      <c r="E10" s="26" t="n"/>
      <c r="F10" s="26" t="n"/>
      <c r="G10" s="26" t="n"/>
      <c r="H10" s="26" t="n"/>
      <c r="I10" s="26" t="n"/>
      <c r="J10" s="26" t="n"/>
      <c r="K10" s="26" t="n"/>
      <c r="L10" s="48">
        <f>G10+K10</f>
        <v/>
      </c>
      <c r="M10" s="48">
        <f>SUM($L$8:L10)</f>
        <v/>
      </c>
      <c r="N10" s="49">
        <f>ROUND('03_Sprint_Drivers'!$C$14/'03_Sprint_Drivers'!$C$9*C10,0)</f>
        <v/>
      </c>
      <c r="O10" s="57">
        <f>M10-N10</f>
        <v/>
      </c>
      <c r="P10" s="12" t="n"/>
    </row>
    <row r="11">
      <c r="B11" s="38" t="n">
        <v>46261</v>
      </c>
      <c r="C11" s="47" t="n">
        <v>4</v>
      </c>
      <c r="D11" s="35" t="n"/>
      <c r="E11" s="26" t="n"/>
      <c r="F11" s="26" t="n"/>
      <c r="G11" s="26" t="n"/>
      <c r="H11" s="26" t="n"/>
      <c r="I11" s="26" t="n"/>
      <c r="J11" s="26" t="n"/>
      <c r="K11" s="26" t="n"/>
      <c r="L11" s="48">
        <f>G11+K11</f>
        <v/>
      </c>
      <c r="M11" s="48">
        <f>SUM($L$8:L11)</f>
        <v/>
      </c>
      <c r="N11" s="49">
        <f>ROUND('03_Sprint_Drivers'!$C$14/'03_Sprint_Drivers'!$C$9*C11,0)</f>
        <v/>
      </c>
      <c r="O11" s="57">
        <f>M11-N11</f>
        <v/>
      </c>
      <c r="P11" s="12" t="n"/>
    </row>
    <row r="12">
      <c r="B12" s="38" t="n">
        <v>46262</v>
      </c>
      <c r="C12" s="47" t="n">
        <v>5</v>
      </c>
      <c r="D12" s="35" t="n"/>
      <c r="E12" s="26" t="n"/>
      <c r="F12" s="26" t="n"/>
      <c r="G12" s="26" t="n"/>
      <c r="H12" s="26" t="n"/>
      <c r="I12" s="26" t="n"/>
      <c r="J12" s="26" t="n"/>
      <c r="K12" s="26" t="n"/>
      <c r="L12" s="48">
        <f>G12+K12</f>
        <v/>
      </c>
      <c r="M12" s="48">
        <f>SUM($L$8:L12)</f>
        <v/>
      </c>
      <c r="N12" s="49">
        <f>ROUND('03_Sprint_Drivers'!$C$14/'03_Sprint_Drivers'!$C$9*C12,0)</f>
        <v/>
      </c>
      <c r="O12" s="57">
        <f>M12-N12</f>
        <v/>
      </c>
      <c r="P12" s="12" t="n"/>
    </row>
    <row r="13">
      <c r="B13" s="38" t="n">
        <v>46263</v>
      </c>
      <c r="C13" s="47" t="n">
        <v>6</v>
      </c>
      <c r="D13" s="35" t="n"/>
      <c r="E13" s="26" t="n"/>
      <c r="F13" s="26" t="n"/>
      <c r="G13" s="26" t="n"/>
      <c r="H13" s="26" t="n"/>
      <c r="I13" s="26" t="n"/>
      <c r="J13" s="26" t="n"/>
      <c r="K13" s="26" t="n"/>
      <c r="L13" s="48">
        <f>G13+K13</f>
        <v/>
      </c>
      <c r="M13" s="48">
        <f>SUM($L$8:L13)</f>
        <v/>
      </c>
      <c r="N13" s="49">
        <f>ROUND('03_Sprint_Drivers'!$C$14/'03_Sprint_Drivers'!$C$9*C13,0)</f>
        <v/>
      </c>
      <c r="O13" s="57">
        <f>M13-N13</f>
        <v/>
      </c>
      <c r="P13" s="12" t="n"/>
    </row>
    <row r="14">
      <c r="B14" s="38" t="n">
        <v>46264</v>
      </c>
      <c r="C14" s="47" t="n">
        <v>7</v>
      </c>
      <c r="D14" s="35" t="n"/>
      <c r="E14" s="26" t="n"/>
      <c r="F14" s="26" t="n"/>
      <c r="G14" s="26" t="n"/>
      <c r="H14" s="26" t="n"/>
      <c r="I14" s="26" t="n"/>
      <c r="J14" s="26" t="n"/>
      <c r="K14" s="26" t="n"/>
      <c r="L14" s="48">
        <f>G14+K14</f>
        <v/>
      </c>
      <c r="M14" s="48">
        <f>SUM($L$8:L14)</f>
        <v/>
      </c>
      <c r="N14" s="49">
        <f>ROUND('03_Sprint_Drivers'!$C$14/'03_Sprint_Drivers'!$C$9*C14,0)</f>
        <v/>
      </c>
      <c r="O14" s="57">
        <f>M14-N14</f>
        <v/>
      </c>
      <c r="P14" s="12" t="n"/>
    </row>
    <row r="15">
      <c r="B15" s="38" t="n">
        <v>46265</v>
      </c>
      <c r="C15" s="47" t="n">
        <v>8</v>
      </c>
      <c r="D15" s="35" t="n"/>
      <c r="E15" s="26" t="n"/>
      <c r="F15" s="26" t="n"/>
      <c r="G15" s="26" t="n"/>
      <c r="H15" s="26" t="n"/>
      <c r="I15" s="26" t="n"/>
      <c r="J15" s="26" t="n"/>
      <c r="K15" s="26" t="n"/>
      <c r="L15" s="48">
        <f>G15+K15</f>
        <v/>
      </c>
      <c r="M15" s="48">
        <f>SUM($L$8:L15)</f>
        <v/>
      </c>
      <c r="N15" s="49">
        <f>ROUND('03_Sprint_Drivers'!$C$14/'03_Sprint_Drivers'!$C$9*C15,0)</f>
        <v/>
      </c>
      <c r="O15" s="57">
        <f>M15-N15</f>
        <v/>
      </c>
      <c r="P15" s="12" t="n"/>
    </row>
    <row r="16">
      <c r="B16" s="38" t="n">
        <v>46266</v>
      </c>
      <c r="C16" s="47" t="n">
        <v>9</v>
      </c>
      <c r="D16" s="35" t="n"/>
      <c r="E16" s="26" t="n"/>
      <c r="F16" s="26" t="n"/>
      <c r="G16" s="26" t="n"/>
      <c r="H16" s="26" t="n"/>
      <c r="I16" s="26" t="n"/>
      <c r="J16" s="26" t="n"/>
      <c r="K16" s="26" t="n"/>
      <c r="L16" s="48">
        <f>G16+K16</f>
        <v/>
      </c>
      <c r="M16" s="48">
        <f>SUM($L$8:L16)</f>
        <v/>
      </c>
      <c r="N16" s="49">
        <f>ROUND('03_Sprint_Drivers'!$C$14/'03_Sprint_Drivers'!$C$9*C16,0)</f>
        <v/>
      </c>
      <c r="O16" s="57">
        <f>M16-N16</f>
        <v/>
      </c>
      <c r="P16" s="12" t="n"/>
    </row>
    <row r="17">
      <c r="B17" s="38" t="n">
        <v>46267</v>
      </c>
      <c r="C17" s="47" t="n">
        <v>10</v>
      </c>
      <c r="D17" s="35" t="n"/>
      <c r="E17" s="26" t="n"/>
      <c r="F17" s="26" t="n"/>
      <c r="G17" s="26" t="n"/>
      <c r="H17" s="26" t="n"/>
      <c r="I17" s="26" t="n"/>
      <c r="J17" s="26" t="n"/>
      <c r="K17" s="26" t="n"/>
      <c r="L17" s="48">
        <f>G17+K17</f>
        <v/>
      </c>
      <c r="M17" s="48">
        <f>SUM($L$8:L17)</f>
        <v/>
      </c>
      <c r="N17" s="49">
        <f>ROUND('03_Sprint_Drivers'!$C$14/'03_Sprint_Drivers'!$C$9*C17,0)</f>
        <v/>
      </c>
      <c r="O17" s="57">
        <f>M17-N17</f>
        <v/>
      </c>
      <c r="P17" s="12" t="n"/>
    </row>
    <row r="18">
      <c r="B18" s="38" t="n">
        <v>46268</v>
      </c>
      <c r="C18" s="47" t="n">
        <v>11</v>
      </c>
      <c r="D18" s="35" t="n"/>
      <c r="E18" s="26" t="n"/>
      <c r="F18" s="26" t="n"/>
      <c r="G18" s="26" t="n"/>
      <c r="H18" s="26" t="n"/>
      <c r="I18" s="26" t="n"/>
      <c r="J18" s="26" t="n"/>
      <c r="K18" s="26" t="n"/>
      <c r="L18" s="48">
        <f>G18+K18</f>
        <v/>
      </c>
      <c r="M18" s="48">
        <f>SUM($L$8:L18)</f>
        <v/>
      </c>
      <c r="N18" s="49">
        <f>ROUND('03_Sprint_Drivers'!$C$14/'03_Sprint_Drivers'!$C$9*C18,0)</f>
        <v/>
      </c>
      <c r="O18" s="57">
        <f>M18-N18</f>
        <v/>
      </c>
      <c r="P18" s="12" t="n"/>
    </row>
    <row r="19">
      <c r="B19" s="38" t="n">
        <v>46269</v>
      </c>
      <c r="C19" s="47" t="n">
        <v>12</v>
      </c>
      <c r="D19" s="35" t="n"/>
      <c r="E19" s="26" t="n"/>
      <c r="F19" s="26" t="n"/>
      <c r="G19" s="26" t="n"/>
      <c r="H19" s="26" t="n"/>
      <c r="I19" s="26" t="n"/>
      <c r="J19" s="26" t="n"/>
      <c r="K19" s="26" t="n"/>
      <c r="L19" s="48">
        <f>G19+K19</f>
        <v/>
      </c>
      <c r="M19" s="48">
        <f>SUM($L$8:L19)</f>
        <v/>
      </c>
      <c r="N19" s="49">
        <f>ROUND('03_Sprint_Drivers'!$C$14/'03_Sprint_Drivers'!$C$9*C19,0)</f>
        <v/>
      </c>
      <c r="O19" s="57">
        <f>M19-N19</f>
        <v/>
      </c>
      <c r="P19" s="12" t="n"/>
    </row>
    <row r="20">
      <c r="B20" s="38" t="n">
        <v>46270</v>
      </c>
      <c r="C20" s="47" t="n">
        <v>13</v>
      </c>
      <c r="D20" s="35" t="n"/>
      <c r="E20" s="26" t="n"/>
      <c r="F20" s="26" t="n"/>
      <c r="G20" s="26" t="n"/>
      <c r="H20" s="26" t="n"/>
      <c r="I20" s="26" t="n"/>
      <c r="J20" s="26" t="n"/>
      <c r="K20" s="26" t="n"/>
      <c r="L20" s="48">
        <f>G20+K20</f>
        <v/>
      </c>
      <c r="M20" s="48">
        <f>SUM($L$8:L20)</f>
        <v/>
      </c>
      <c r="N20" s="49">
        <f>ROUND('03_Sprint_Drivers'!$C$14/'03_Sprint_Drivers'!$C$9*C20,0)</f>
        <v/>
      </c>
      <c r="O20" s="57">
        <f>M20-N20</f>
        <v/>
      </c>
      <c r="P20" s="12" t="n"/>
    </row>
    <row r="21">
      <c r="B21" s="38" t="n">
        <v>46271</v>
      </c>
      <c r="C21" s="47" t="n">
        <v>14</v>
      </c>
      <c r="D21" s="35" t="n"/>
      <c r="E21" s="26" t="n"/>
      <c r="F21" s="26" t="n"/>
      <c r="G21" s="26" t="n"/>
      <c r="H21" s="26" t="n"/>
      <c r="I21" s="26" t="n"/>
      <c r="J21" s="26" t="n"/>
      <c r="K21" s="26" t="n"/>
      <c r="L21" s="48">
        <f>G21+K21</f>
        <v/>
      </c>
      <c r="M21" s="48">
        <f>SUM($L$8:L21)</f>
        <v/>
      </c>
      <c r="N21" s="49">
        <f>ROUND('03_Sprint_Drivers'!$C$14/'03_Sprint_Drivers'!$C$9*C21,0)</f>
        <v/>
      </c>
      <c r="O21" s="57">
        <f>M21-N21</f>
        <v/>
      </c>
      <c r="P21" s="12" t="n"/>
    </row>
    <row r="22">
      <c r="B22" s="51" t="inlineStr">
        <is>
          <t>TOTAL</t>
        </is>
      </c>
      <c r="C22" s="4" t="n"/>
      <c r="D22" s="52">
        <f>SUM(D8:D21)</f>
        <v/>
      </c>
      <c r="E22" s="53">
        <f>SUM(E8:E21)</f>
        <v/>
      </c>
      <c r="F22" s="53">
        <f>SUM(F8:F21)</f>
        <v/>
      </c>
      <c r="G22" s="53">
        <f>SUM(G8:G21)</f>
        <v/>
      </c>
      <c r="H22" s="53">
        <f>SUM(H8:H21)</f>
        <v/>
      </c>
      <c r="I22" s="53">
        <f>SUM(I8:I21)</f>
        <v/>
      </c>
      <c r="J22" s="53">
        <f>SUM(J8:J21)</f>
        <v/>
      </c>
      <c r="K22" s="53">
        <f>SUM(K8:K21)</f>
        <v/>
      </c>
      <c r="L22" s="53">
        <f>SUM(L8:L21)</f>
        <v/>
      </c>
      <c r="M22" s="4" t="n"/>
      <c r="N22" s="53">
        <f>'03_Sprint_Drivers'!$C$14</f>
        <v/>
      </c>
      <c r="O22" s="58">
        <f>L22-N22</f>
        <v/>
      </c>
      <c r="P22" s="4" t="n"/>
    </row>
    <row r="24">
      <c r="B24" s="22" t="inlineStr">
        <is>
          <t>EXAMPLE ROW, do not type over the log above. Delete this block once the team has filled day 1.</t>
        </is>
      </c>
    </row>
    <row r="25">
      <c r="B25" s="55" t="inlineStr">
        <is>
          <t>Mon 24 Aug</t>
        </is>
      </c>
      <c r="C25" s="55" t="inlineStr">
        <is>
          <t>1</t>
        </is>
      </c>
      <c r="D25" s="56" t="inlineStr">
        <is>
          <t>R2 400</t>
        </is>
      </c>
      <c r="E25" s="56" t="inlineStr">
        <is>
          <t>310</t>
        </is>
      </c>
      <c r="F25" s="56" t="inlineStr">
        <is>
          <t>44</t>
        </is>
      </c>
      <c r="G25" s="56" t="inlineStr">
        <is>
          <t>6</t>
        </is>
      </c>
      <c r="H25" s="56" t="inlineStr">
        <is>
          <t>2</t>
        </is>
      </c>
      <c r="I25" s="56" t="inlineStr">
        <is>
          <t>9</t>
        </is>
      </c>
      <c r="J25" s="56" t="inlineStr">
        <is>
          <t>31</t>
        </is>
      </c>
      <c r="K25" s="56" t="inlineStr">
        <is>
          <t>3</t>
        </is>
      </c>
      <c r="L25" s="56" t="inlineStr">
        <is>
          <t>9</t>
        </is>
      </c>
      <c r="M25" s="56" t="inlineStr">
        <is>
          <t>9</t>
        </is>
      </c>
      <c r="N25" s="56" t="inlineStr">
        <is>
          <t>18</t>
        </is>
      </c>
      <c r="O25" s="56" t="inlineStr">
        <is>
          <t>-9</t>
        </is>
      </c>
      <c r="P25" s="56" t="inlineStr">
        <is>
          <t>Meta set A pulled at 14:00, CTR 0.6%</t>
        </is>
      </c>
    </row>
    <row r="27">
      <c r="B27" s="2" t="inlineStr">
        <is>
          <t>Spend is what the platform reports as spent that day, not what was budgeted.</t>
        </is>
      </c>
    </row>
    <row r="28">
      <c r="B28" s="2" t="inlineStr">
        <is>
          <t>Sales are taken from the reconciled Peach export, split by the UTM the buyer arrived through. A sale with no UTM goes in neither engine column and is noted.</t>
        </is>
      </c>
    </row>
    <row r="29">
      <c r="B29" s="2" t="inlineStr">
        <is>
          <t>Signups captured (GE2) are parent sign ups taken at a visit, from the QR code or the paper sheet, entered the same day.</t>
        </is>
      </c>
    </row>
    <row r="30">
      <c r="B30" s="2" t="inlineStr">
        <is>
          <t>Target cum. divides the qualifying target evenly across 14 days. It is a pace line, not a forecast.</t>
        </is>
      </c>
    </row>
  </sheetData>
  <mergeCells count="3">
    <mergeCell ref="I6:L6"/>
    <mergeCell ref="M6:P6"/>
    <mergeCell ref="E6:H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28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4" customWidth="1" min="4" max="4"/>
    <col width="56" customWidth="1" min="5" max="5"/>
  </cols>
  <sheetData>
    <row r="2" ht="27" customHeight="1">
      <c r="B2" s="1" t="inlineStr">
        <is>
          <t>GE1: PAID MEDIA</t>
        </is>
      </c>
    </row>
    <row r="3" ht="13" customHeight="1">
      <c r="B3" s="2" t="inlineStr">
        <is>
          <t>Owner: Performance Marketer. Every figure reads from 05_Daily_Log. Nothing on this sheet is typed except the channel split below.</t>
        </is>
      </c>
    </row>
    <row r="5" ht="20" customHeight="1">
      <c r="B5" s="3" t="inlineStr">
        <is>
          <t>Sprint to date</t>
        </is>
      </c>
      <c r="C5" s="4" t="n"/>
      <c r="D5" s="4" t="n"/>
      <c r="E5" s="4" t="n"/>
    </row>
    <row r="6" ht="26" customHeight="1">
      <c r="B6" s="11" t="inlineStr">
        <is>
          <t>Metric</t>
        </is>
      </c>
      <c r="C6" s="11" t="inlineStr">
        <is>
          <t>Actual</t>
        </is>
      </c>
      <c r="D6" s="11" t="inlineStr">
        <is>
          <t>Target</t>
        </is>
      </c>
      <c r="E6" s="11" t="inlineStr">
        <is>
          <t>Note</t>
        </is>
      </c>
    </row>
    <row r="7">
      <c r="B7" s="6" t="inlineStr">
        <is>
          <t>Spend</t>
        </is>
      </c>
      <c r="C7" s="36">
        <f>SUM('05_Daily_Log'!D8:D21)</f>
        <v/>
      </c>
      <c r="D7" s="59">
        <f>'03_Sprint_Drivers'!$C$13</f>
        <v/>
      </c>
      <c r="E7" s="2" t="inlineStr">
        <is>
          <t>Sum of the log.</t>
        </is>
      </c>
    </row>
    <row r="8">
      <c r="B8" s="6" t="inlineStr">
        <is>
          <t>Clicks</t>
        </is>
      </c>
      <c r="C8" s="24">
        <f>SUM('05_Daily_Log'!E8:E21)</f>
        <v/>
      </c>
      <c r="E8" s="2" t="inlineStr">
        <is>
          <t>Sum of the log.</t>
        </is>
      </c>
    </row>
    <row r="9">
      <c r="B9" s="6" t="inlineStr">
        <is>
          <t>Signups</t>
        </is>
      </c>
      <c r="C9" s="24">
        <f>SUM('05_Daily_Log'!F8:F21)</f>
        <v/>
      </c>
      <c r="E9" s="2" t="inlineStr">
        <is>
          <t>Sum of the log.</t>
        </is>
      </c>
    </row>
    <row r="10">
      <c r="B10" s="6" t="inlineStr">
        <is>
          <t>Sales</t>
        </is>
      </c>
      <c r="C10" s="24">
        <f>SUM('05_Daily_Log'!G8:G21)</f>
        <v/>
      </c>
      <c r="D10" s="60">
        <f>'03_Sprint_Drivers'!$C$17</f>
        <v/>
      </c>
      <c r="E10" s="2" t="inlineStr">
        <is>
          <t>Sum of the log. Peach reconciled, UTM attributed.</t>
        </is>
      </c>
    </row>
    <row r="11">
      <c r="B11" s="6" t="inlineStr">
        <is>
          <t>Cost per sale</t>
        </is>
      </c>
      <c r="C11" s="36">
        <f>IFERROR(SUM('05_Daily_Log'!D8:D21)/SUM('05_Daily_Log'!G8:G21),0)</f>
        <v/>
      </c>
      <c r="D11" s="59">
        <f>'03_Sprint_Drivers'!$C$26</f>
        <v/>
      </c>
      <c r="E11" s="2" t="inlineStr">
        <is>
          <t>The number this sprint exists to establish.</t>
        </is>
      </c>
    </row>
    <row r="12">
      <c r="B12" s="6" t="inlineStr">
        <is>
          <t>Cost per signup</t>
        </is>
      </c>
      <c r="C12" s="36">
        <f>IFERROR(SUM('05_Daily_Log'!D8:D21)/SUM('05_Daily_Log'!F8:F21),0)</f>
        <v/>
      </c>
      <c r="D12" s="59" t="n">
        <v>110</v>
      </c>
      <c r="E12" s="2" t="inlineStr">
        <is>
          <t>v4 GE1 KPI target is R85, current R110.</t>
        </is>
      </c>
    </row>
    <row r="13">
      <c r="B13" s="6" t="inlineStr">
        <is>
          <t>Click to signup rate</t>
        </is>
      </c>
      <c r="C13" s="28">
        <f>IFERROR(SUM('05_Daily_Log'!F8:F21)/SUM('05_Daily_Log'!E8:E21),0)</f>
        <v/>
      </c>
      <c r="E13" s="2" t="inlineStr">
        <is>
          <t>Landing page performance.</t>
        </is>
      </c>
    </row>
    <row r="14">
      <c r="B14" s="6" t="inlineStr">
        <is>
          <t>Signup to sale rate</t>
        </is>
      </c>
      <c r="C14" s="28">
        <f>IFERROR(SUM('05_Daily_Log'!G8:G21)/SUM('05_Daily_Log'!F8:F21),0)</f>
        <v/>
      </c>
      <c r="D14" s="61" t="n">
        <v>0.04</v>
      </c>
      <c r="E14" s="2" t="inlineStr">
        <is>
          <t>v4 GE1 KPI target is 4%.</t>
        </is>
      </c>
    </row>
    <row r="15">
      <c r="B15" s="6" t="inlineStr">
        <is>
          <t>Spend left in the cap</t>
        </is>
      </c>
      <c r="C15" s="36">
        <f>'03_Sprint_Drivers'!$C$13-SUM('05_Daily_Log'!D8:D21)</f>
        <v/>
      </c>
      <c r="E15" s="2" t="inlineStr">
        <is>
          <t>Negative means the cap is breached. That needs MD approval.</t>
        </is>
      </c>
    </row>
    <row r="16">
      <c r="B16" s="6" t="inlineStr">
        <is>
          <t>Share of GE1 target banked</t>
        </is>
      </c>
      <c r="C16" s="28">
        <f>IFERROR(SUM('05_Daily_Log'!G8:G21)/'03_Sprint_Drivers'!$C$17,0)</f>
        <v/>
      </c>
      <c r="D16" s="61" t="n">
        <v>1</v>
      </c>
      <c r="E16" s="2" t="inlineStr">
        <is>
          <t>Against the GE1 split of the qualifying target.</t>
        </is>
      </c>
    </row>
    <row r="18" ht="20" customHeight="1">
      <c r="B18" s="3" t="inlineStr">
        <is>
          <t>Channel split. Type into the yellow cells</t>
        </is>
      </c>
      <c r="C18" s="4" t="n"/>
      <c r="D18" s="4" t="n"/>
      <c r="E18" s="4" t="n"/>
    </row>
    <row r="19" ht="26" customHeight="1">
      <c r="B19" s="11" t="inlineStr">
        <is>
          <t>Channel</t>
        </is>
      </c>
      <c r="C19" s="11" t="inlineStr">
        <is>
          <t>Budget (R)</t>
        </is>
      </c>
      <c r="D19" s="11" t="inlineStr">
        <is>
          <t>Spend (R)</t>
        </is>
      </c>
      <c r="E19" s="11" t="inlineStr">
        <is>
          <t>Sales / cost per sale</t>
        </is>
      </c>
    </row>
    <row r="20">
      <c r="B20" s="6" t="inlineStr">
        <is>
          <t>Meta, paid social</t>
        </is>
      </c>
      <c r="C20" s="35" t="n"/>
      <c r="D20" s="35" t="n"/>
      <c r="E20" s="26" t="n"/>
    </row>
    <row r="21">
      <c r="B21" s="6" t="inlineStr">
        <is>
          <t>Google, paid search</t>
        </is>
      </c>
      <c r="C21" s="35" t="n"/>
      <c r="D21" s="35" t="n"/>
      <c r="E21" s="26" t="n"/>
    </row>
    <row r="22">
      <c r="B22" s="6" t="inlineStr">
        <is>
          <t>LinkedIn, paid</t>
        </is>
      </c>
      <c r="C22" s="35" t="n"/>
      <c r="D22" s="35" t="n"/>
      <c r="E22" s="26" t="n"/>
    </row>
    <row r="23">
      <c r="B23" s="6" t="inlineStr">
        <is>
          <t>Boosted organic posts</t>
        </is>
      </c>
      <c r="C23" s="35" t="n"/>
      <c r="D23" s="35" t="n"/>
      <c r="E23" s="26" t="n"/>
    </row>
    <row r="24">
      <c r="B24" s="6" t="inlineStr">
        <is>
          <t>Influencer Wave 3, GP creator</t>
        </is>
      </c>
      <c r="C24" s="35" t="n">
        <v>50000</v>
      </c>
      <c r="D24" s="35" t="n"/>
      <c r="E24" s="26" t="n"/>
    </row>
    <row r="25">
      <c r="B25" s="5" t="inlineStr">
        <is>
          <t>Channel total</t>
        </is>
      </c>
      <c r="C25" s="36">
        <f>SUM(C20:C24)</f>
        <v/>
      </c>
      <c r="D25" s="36">
        <f>SUM(D20:D24)</f>
        <v/>
      </c>
      <c r="E25" s="24">
        <f>SUM(E20:E24)</f>
        <v/>
      </c>
    </row>
    <row r="26">
      <c r="B26" s="2" t="inlineStr">
        <is>
          <t>Column E is sales, not cost per sale. Cost per sale per channel is D divided by E and is read at the Monday call.</t>
        </is>
      </c>
    </row>
    <row r="28">
      <c r="B28" s="2" t="inlineStr">
        <is>
          <t>Influencer Wave 3 budget R50 000 is the v4 Budget Master line for Aug 2026. Confirm how much of it falls inside these 14 days.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24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4" customWidth="1" min="4" max="4"/>
    <col width="56" customWidth="1" min="5" max="5"/>
  </cols>
  <sheetData>
    <row r="2" ht="27" customHeight="1">
      <c r="B2" s="1" t="inlineStr">
        <is>
          <t>GE2: SCHOOL OUTREACH</t>
        </is>
      </c>
    </row>
    <row r="3" ht="13" customHeight="1">
      <c r="B3" s="2" t="inlineStr">
        <is>
          <t>Owner: Schools Coordinator. Reads from 05_Daily_Log and 08_School_Visits. This engine is measured on the same basis as paid media.</t>
        </is>
      </c>
    </row>
    <row r="5" ht="20" customHeight="1">
      <c r="B5" s="3" t="inlineStr">
        <is>
          <t>Sprint to date</t>
        </is>
      </c>
      <c r="C5" s="4" t="n"/>
      <c r="D5" s="4" t="n"/>
      <c r="E5" s="4" t="n"/>
    </row>
    <row r="6" ht="26" customHeight="1">
      <c r="B6" s="11" t="inlineStr">
        <is>
          <t>Metric</t>
        </is>
      </c>
      <c r="C6" s="11" t="inlineStr">
        <is>
          <t>Actual</t>
        </is>
      </c>
      <c r="D6" s="11" t="inlineStr">
        <is>
          <t>Target</t>
        </is>
      </c>
      <c r="E6" s="11" t="inlineStr">
        <is>
          <t>Note</t>
        </is>
      </c>
    </row>
    <row r="7">
      <c r="B7" s="6" t="inlineStr">
        <is>
          <t>Schools visited</t>
        </is>
      </c>
      <c r="C7" s="24">
        <f>SUM('05_Daily_Log'!H8:H21)</f>
        <v/>
      </c>
      <c r="D7" s="60" t="n">
        <v>12</v>
      </c>
      <c r="E7" s="2" t="inlineStr">
        <is>
          <t>6 per week is the visit target.</t>
        </is>
      </c>
    </row>
    <row r="8">
      <c r="B8" s="6" t="inlineStr">
        <is>
          <t>Calls made</t>
        </is>
      </c>
      <c r="C8" s="24">
        <f>SUM('05_Daily_Log'!I8:I21)</f>
        <v/>
      </c>
      <c r="D8" s="60" t="n">
        <v>38</v>
      </c>
      <c r="E8" s="2" t="inlineStr">
        <is>
          <t>19 per week. Calls plus visits equals the v4 GE2 target of 25 per week.</t>
        </is>
      </c>
    </row>
    <row r="9">
      <c r="B9" s="6" t="inlineStr">
        <is>
          <t>Calls plus visits</t>
        </is>
      </c>
      <c r="C9" s="24">
        <f>SUM('05_Daily_Log'!H8:H21)+SUM('05_Daily_Log'!I8:I21)</f>
        <v/>
      </c>
      <c r="D9" s="60" t="n">
        <v>50</v>
      </c>
      <c r="E9" s="2" t="inlineStr">
        <is>
          <t>v4 GE2 KPI. Trigger is below 15 in a week.</t>
        </is>
      </c>
    </row>
    <row r="10">
      <c r="B10" s="6" t="inlineStr">
        <is>
          <t>Signups captured</t>
        </is>
      </c>
      <c r="C10" s="24">
        <f>SUM('05_Daily_Log'!J8:J21)</f>
        <v/>
      </c>
      <c r="E10" s="2" t="inlineStr">
        <is>
          <t>Parent sign ups taken at a visit, same day entry.</t>
        </is>
      </c>
    </row>
    <row r="11">
      <c r="B11" s="6" t="inlineStr">
        <is>
          <t>Sales</t>
        </is>
      </c>
      <c r="C11" s="24">
        <f>SUM('05_Daily_Log'!K8:K21)</f>
        <v/>
      </c>
      <c r="D11" s="60">
        <f>'03_Sprint_Drivers'!$C$18</f>
        <v/>
      </c>
      <c r="E11" s="2" t="inlineStr">
        <is>
          <t>Peach reconciled, attributed to a school tagged link.</t>
        </is>
      </c>
    </row>
    <row r="12">
      <c r="B12" s="6" t="inlineStr">
        <is>
          <t>Signups per visit</t>
        </is>
      </c>
      <c r="C12" s="29">
        <f>IFERROR(SUM('05_Daily_Log'!J8:J21)/SUM('05_Daily_Log'!H8:H21),0)</f>
        <v/>
      </c>
      <c r="E12" s="2" t="inlineStr">
        <is>
          <t>The number that tells you whether visits are worth the travel.</t>
        </is>
      </c>
    </row>
    <row r="13">
      <c r="B13" s="6" t="inlineStr">
        <is>
          <t>Sales per visit</t>
        </is>
      </c>
      <c r="C13" s="62">
        <f>IFERROR(SUM('05_Daily_Log'!K8:K21)/SUM('05_Daily_Log'!H8:H21),0)</f>
        <v/>
      </c>
      <c r="E13" s="2" t="inlineStr">
        <is>
          <t>The school engine equivalent of cost per sale.</t>
        </is>
      </c>
    </row>
    <row r="14">
      <c r="B14" s="6" t="inlineStr">
        <is>
          <t>Signup to sale rate</t>
        </is>
      </c>
      <c r="C14" s="28">
        <f>IFERROR(SUM('05_Daily_Log'!K8:K21)/SUM('05_Daily_Log'!J8:J21),0)</f>
        <v/>
      </c>
      <c r="E14" s="2" t="inlineStr">
        <is>
          <t>Compare against the paid engine on 05.</t>
        </is>
      </c>
    </row>
    <row r="15">
      <c r="B15" s="6" t="inlineStr">
        <is>
          <t>Share of GE2 target banked</t>
        </is>
      </c>
      <c r="C15" s="28">
        <f>IFERROR(SUM('05_Daily_Log'!K8:K21)/'03_Sprint_Drivers'!$C$18,0)</f>
        <v/>
      </c>
      <c r="D15" s="61" t="n">
        <v>1</v>
      </c>
      <c r="E15" s="2" t="inlineStr">
        <is>
          <t>Against the GE2 split of the qualifying target.</t>
        </is>
      </c>
    </row>
    <row r="17" ht="20" customHeight="1">
      <c r="B17" s="3" t="inlineStr">
        <is>
          <t>Sprint cost of this engine. Type into the yellow cells</t>
        </is>
      </c>
      <c r="C17" s="4" t="n"/>
      <c r="D17" s="4" t="n"/>
      <c r="E17" s="4" t="n"/>
    </row>
    <row r="18" ht="26" customHeight="1">
      <c r="B18" s="11" t="inlineStr">
        <is>
          <t>Cost line</t>
        </is>
      </c>
      <c r="C18" s="11" t="inlineStr">
        <is>
          <t>Sprint cost (R)</t>
        </is>
      </c>
      <c r="D18" s="11" t="inlineStr"/>
      <c r="E18" s="11" t="inlineStr">
        <is>
          <t>Source</t>
        </is>
      </c>
    </row>
    <row r="19">
      <c r="B19" s="6" t="inlineStr">
        <is>
          <t>School activations Wave 2</t>
        </is>
      </c>
      <c r="C19" s="35" t="inlineStr"/>
      <c r="E19" s="2" t="inlineStr">
        <is>
          <t>v4 Budget Master, R19 000 for all of Aug 2026. Enter only the portion inside these 14 days.</t>
        </is>
      </c>
    </row>
    <row r="20">
      <c r="B20" s="6" t="inlineStr">
        <is>
          <t>Information sessions support</t>
        </is>
      </c>
      <c r="C20" s="35" t="inlineStr"/>
      <c r="E20" s="2" t="inlineStr">
        <is>
          <t>v4 Budget Master, R5 000 across Aug and Sep 2026. Enter the sprint portion.</t>
        </is>
      </c>
    </row>
    <row r="21">
      <c r="B21" s="6" t="inlineStr">
        <is>
          <t>Travel and fuel</t>
        </is>
      </c>
      <c r="C21" s="35" t="inlineStr"/>
      <c r="E21" s="2" t="inlineStr">
        <is>
          <t>Actual, from expense claims.</t>
        </is>
      </c>
    </row>
    <row r="22">
      <c r="B22" s="6" t="inlineStr">
        <is>
          <t>Printed material and QR codes</t>
        </is>
      </c>
      <c r="C22" s="35" t="inlineStr"/>
      <c r="E22" s="2" t="inlineStr">
        <is>
          <t>Actual.</t>
        </is>
      </c>
    </row>
    <row r="23">
      <c r="B23" s="5" t="inlineStr">
        <is>
          <t>Total GE2 sprint cost</t>
        </is>
      </c>
      <c r="C23" s="36">
        <f>SUM(C19:C22)</f>
        <v/>
      </c>
    </row>
    <row r="24">
      <c r="B24" s="5" t="inlineStr">
        <is>
          <t>Cost per sale, school engine</t>
        </is>
      </c>
      <c r="C24" s="36">
        <f>IFERROR(C23/SUM('05_Daily_Log'!K8:K21),0)</f>
        <v/>
      </c>
      <c r="D24" s="59">
        <f>'03_Sprint_Drivers'!$C$26</f>
        <v/>
      </c>
      <c r="E24" s="2" t="inlineStr">
        <is>
          <t>Directly comparable with the paid media cost per sale on 05. This comparison is the point of the sprint.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25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18" customWidth="1" min="4" max="4"/>
    <col width="14" customWidth="1" min="5" max="5"/>
    <col width="22" customWidth="1" min="6" max="6"/>
    <col width="11" customWidth="1" min="7" max="7"/>
    <col width="15" customWidth="1" min="8" max="8"/>
    <col width="16" customWidth="1" min="9" max="9"/>
    <col width="20" customWidth="1" min="10" max="10"/>
    <col width="14" customWidth="1" min="11" max="11"/>
    <col width="30" customWidth="1" min="12" max="12"/>
  </cols>
  <sheetData>
    <row r="2" ht="27" customHeight="1">
      <c r="B2" s="1" t="inlineStr">
        <is>
          <t>SCHOOL VISITS</t>
        </is>
      </c>
    </row>
    <row r="3" ht="13" customHeight="1">
      <c r="B3" s="2" t="inlineStr">
        <is>
          <t>Owner: Schools Coordinator. Logged the same day as the visit. Week 1 is assigned from the six active Phase 2 pilots. Week 2 is assigned at the day 8 stand up.</t>
        </is>
      </c>
    </row>
    <row r="5" ht="20" customHeight="1">
      <c r="B5" s="3" t="inlineStr">
        <is>
          <t>Week 1: Tue 25, Wed 26, Thu 27 August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 ht="26" customHeight="1">
      <c r="B6" s="11" t="inlineStr">
        <is>
          <t>#</t>
        </is>
      </c>
      <c r="C6" s="11" t="inlineStr">
        <is>
          <t>School</t>
        </is>
      </c>
      <c r="D6" s="11" t="inlineStr">
        <is>
          <t>Region</t>
        </is>
      </c>
      <c r="E6" s="11" t="inlineStr">
        <is>
          <t>Date</t>
        </is>
      </c>
      <c r="F6" s="11" t="inlineStr">
        <is>
          <t>Owner</t>
        </is>
      </c>
      <c r="G6" s="11" t="inlineStr">
        <is>
          <t>Status</t>
        </is>
      </c>
      <c r="H6" s="11" t="inlineStr">
        <is>
          <t>Parents reached</t>
        </is>
      </c>
      <c r="I6" s="11" t="inlineStr">
        <is>
          <t>Signups captured</t>
        </is>
      </c>
      <c r="J6" s="11" t="inlineStr">
        <is>
          <t>UTM content tag</t>
        </is>
      </c>
      <c r="K6" s="11" t="inlineStr">
        <is>
          <t>Sales attributed</t>
        </is>
      </c>
      <c r="L6" s="11" t="inlineStr">
        <is>
          <t>Notes</t>
        </is>
      </c>
    </row>
    <row r="7">
      <c r="B7" s="37" t="n">
        <v>1</v>
      </c>
      <c r="C7" s="12" t="inlineStr">
        <is>
          <t>Kingsmead</t>
        </is>
      </c>
      <c r="D7" s="13" t="inlineStr">
        <is>
          <t>KZN (Durban)</t>
        </is>
      </c>
      <c r="E7" s="38" t="n">
        <v>46259</v>
      </c>
      <c r="F7" s="12" t="inlineStr">
        <is>
          <t>TBC</t>
        </is>
      </c>
      <c r="G7" s="40" t="inlineStr">
        <is>
          <t>PLANNED</t>
        </is>
      </c>
      <c r="H7" s="26" t="n"/>
      <c r="I7" s="26" t="n"/>
      <c r="J7" s="12" t="inlineStr">
        <is>
          <t>school-kingsmead</t>
        </is>
      </c>
      <c r="K7" s="26" t="n"/>
      <c r="L7" s="12" t="n"/>
    </row>
    <row r="8">
      <c r="B8" s="37" t="n">
        <v>2</v>
      </c>
      <c r="C8" s="12" t="inlineStr">
        <is>
          <t>St Albans</t>
        </is>
      </c>
      <c r="D8" s="13" t="inlineStr">
        <is>
          <t>EC (Port Elizabeth)</t>
        </is>
      </c>
      <c r="E8" s="38" t="n">
        <v>46259</v>
      </c>
      <c r="F8" s="12" t="inlineStr">
        <is>
          <t>TBC</t>
        </is>
      </c>
      <c r="G8" s="40" t="inlineStr">
        <is>
          <t>PLANNED</t>
        </is>
      </c>
      <c r="H8" s="26" t="n"/>
      <c r="I8" s="26" t="n"/>
      <c r="J8" s="12" t="inlineStr">
        <is>
          <t>school-st</t>
        </is>
      </c>
      <c r="K8" s="26" t="n"/>
      <c r="L8" s="12" t="n"/>
    </row>
    <row r="9">
      <c r="B9" s="37" t="n">
        <v>3</v>
      </c>
      <c r="C9" s="12" t="inlineStr">
        <is>
          <t>Dainfern College</t>
        </is>
      </c>
      <c r="D9" s="13" t="inlineStr">
        <is>
          <t>GP (JHB North)</t>
        </is>
      </c>
      <c r="E9" s="38" t="n">
        <v>46260</v>
      </c>
      <c r="F9" s="12" t="inlineStr">
        <is>
          <t>TBC</t>
        </is>
      </c>
      <c r="G9" s="40" t="inlineStr">
        <is>
          <t>PLANNED</t>
        </is>
      </c>
      <c r="H9" s="26" t="n"/>
      <c r="I9" s="26" t="n"/>
      <c r="J9" s="12" t="inlineStr">
        <is>
          <t>school-dainfern</t>
        </is>
      </c>
      <c r="K9" s="26" t="n"/>
      <c r="L9" s="12" t="n"/>
    </row>
    <row r="10">
      <c r="B10" s="37" t="n">
        <v>4</v>
      </c>
      <c r="C10" s="12" t="inlineStr">
        <is>
          <t>Umtata International</t>
        </is>
      </c>
      <c r="D10" s="13" t="inlineStr">
        <is>
          <t>EC (Mthatha)</t>
        </is>
      </c>
      <c r="E10" s="38" t="n">
        <v>46260</v>
      </c>
      <c r="F10" s="12" t="inlineStr">
        <is>
          <t>TBC</t>
        </is>
      </c>
      <c r="G10" s="40" t="inlineStr">
        <is>
          <t>PLANNED</t>
        </is>
      </c>
      <c r="H10" s="26" t="n"/>
      <c r="I10" s="26" t="n"/>
      <c r="J10" s="12" t="inlineStr">
        <is>
          <t>school-umtata</t>
        </is>
      </c>
      <c r="K10" s="26" t="n"/>
      <c r="L10" s="12" t="n"/>
    </row>
    <row r="11">
      <c r="B11" s="37" t="n">
        <v>5</v>
      </c>
      <c r="C11" s="12" t="inlineStr">
        <is>
          <t>St Jude Private</t>
        </is>
      </c>
      <c r="D11" s="13" t="inlineStr">
        <is>
          <t>EC</t>
        </is>
      </c>
      <c r="E11" s="38" t="n">
        <v>46261</v>
      </c>
      <c r="F11" s="12" t="inlineStr">
        <is>
          <t>TBC</t>
        </is>
      </c>
      <c r="G11" s="40" t="inlineStr">
        <is>
          <t>PLANNED</t>
        </is>
      </c>
      <c r="H11" s="26" t="n"/>
      <c r="I11" s="26" t="n"/>
      <c r="J11" s="12" t="inlineStr">
        <is>
          <t>school-st</t>
        </is>
      </c>
      <c r="K11" s="26" t="n"/>
      <c r="L11" s="12" t="n"/>
    </row>
    <row r="12">
      <c r="B12" s="37" t="n">
        <v>6</v>
      </c>
      <c r="C12" s="12" t="inlineStr">
        <is>
          <t>Christ The King International</t>
        </is>
      </c>
      <c r="D12" s="13" t="inlineStr">
        <is>
          <t>EC</t>
        </is>
      </c>
      <c r="E12" s="38" t="n">
        <v>46261</v>
      </c>
      <c r="F12" s="12" t="inlineStr">
        <is>
          <t>TBC</t>
        </is>
      </c>
      <c r="G12" s="40" t="inlineStr">
        <is>
          <t>PLANNED</t>
        </is>
      </c>
      <c r="H12" s="26" t="n"/>
      <c r="I12" s="26" t="n"/>
      <c r="J12" s="12" t="inlineStr">
        <is>
          <t>school-christ</t>
        </is>
      </c>
      <c r="K12" s="26" t="n"/>
      <c r="L12" s="12" t="n"/>
    </row>
    <row r="14" ht="20" customHeight="1">
      <c r="B14" s="3" t="inlineStr">
        <is>
          <t>Week 2: Tue 1, Wed 2, Thu 3 September. Schools assigned at the day 8 stand up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 ht="26" customHeight="1">
      <c r="B15" s="11" t="inlineStr">
        <is>
          <t>#</t>
        </is>
      </c>
      <c r="C15" s="11" t="inlineStr">
        <is>
          <t>School</t>
        </is>
      </c>
      <c r="D15" s="11" t="inlineStr">
        <is>
          <t>Region</t>
        </is>
      </c>
      <c r="E15" s="11" t="inlineStr">
        <is>
          <t>Date</t>
        </is>
      </c>
      <c r="F15" s="11" t="inlineStr">
        <is>
          <t>Owner</t>
        </is>
      </c>
      <c r="G15" s="11" t="inlineStr">
        <is>
          <t>Status</t>
        </is>
      </c>
      <c r="H15" s="11" t="inlineStr">
        <is>
          <t>Parents reached</t>
        </is>
      </c>
      <c r="I15" s="11" t="inlineStr">
        <is>
          <t>Signups captured</t>
        </is>
      </c>
      <c r="J15" s="11" t="inlineStr">
        <is>
          <t>UTM content tag</t>
        </is>
      </c>
      <c r="K15" s="11" t="inlineStr">
        <is>
          <t>Sales attributed</t>
        </is>
      </c>
      <c r="L15" s="11" t="inlineStr">
        <is>
          <t>Notes</t>
        </is>
      </c>
    </row>
    <row r="16">
      <c r="B16" s="37" t="n">
        <v>7</v>
      </c>
      <c r="C16" s="12" t="n"/>
      <c r="D16" s="12" t="n"/>
      <c r="E16" s="38" t="n">
        <v>46266</v>
      </c>
      <c r="F16" s="12" t="n"/>
      <c r="G16" s="40" t="inlineStr">
        <is>
          <t>PLANNED</t>
        </is>
      </c>
      <c r="H16" s="26" t="n"/>
      <c r="I16" s="26" t="n"/>
      <c r="J16" s="12" t="n"/>
      <c r="K16" s="26" t="n"/>
      <c r="L16" s="12" t="n"/>
    </row>
    <row r="17">
      <c r="B17" s="37" t="n">
        <v>8</v>
      </c>
      <c r="C17" s="12" t="n"/>
      <c r="D17" s="12" t="n"/>
      <c r="E17" s="38" t="n">
        <v>46266</v>
      </c>
      <c r="F17" s="12" t="n"/>
      <c r="G17" s="40" t="inlineStr">
        <is>
          <t>PLANNED</t>
        </is>
      </c>
      <c r="H17" s="26" t="n"/>
      <c r="I17" s="26" t="n"/>
      <c r="J17" s="12" t="n"/>
      <c r="K17" s="26" t="n"/>
      <c r="L17" s="12" t="n"/>
    </row>
    <row r="18">
      <c r="B18" s="37" t="n">
        <v>9</v>
      </c>
      <c r="C18" s="12" t="n"/>
      <c r="D18" s="12" t="n"/>
      <c r="E18" s="38" t="n">
        <v>46267</v>
      </c>
      <c r="F18" s="12" t="n"/>
      <c r="G18" s="40" t="inlineStr">
        <is>
          <t>PLANNED</t>
        </is>
      </c>
      <c r="H18" s="26" t="n"/>
      <c r="I18" s="26" t="n"/>
      <c r="J18" s="12" t="n"/>
      <c r="K18" s="26" t="n"/>
      <c r="L18" s="12" t="n"/>
    </row>
    <row r="19">
      <c r="B19" s="37" t="n">
        <v>10</v>
      </c>
      <c r="C19" s="12" t="n"/>
      <c r="D19" s="12" t="n"/>
      <c r="E19" s="38" t="n">
        <v>46267</v>
      </c>
      <c r="F19" s="12" t="n"/>
      <c r="G19" s="40" t="inlineStr">
        <is>
          <t>PLANNED</t>
        </is>
      </c>
      <c r="H19" s="26" t="n"/>
      <c r="I19" s="26" t="n"/>
      <c r="J19" s="12" t="n"/>
      <c r="K19" s="26" t="n"/>
      <c r="L19" s="12" t="n"/>
    </row>
    <row r="20">
      <c r="B20" s="37" t="n">
        <v>11</v>
      </c>
      <c r="C20" s="12" t="n"/>
      <c r="D20" s="12" t="n"/>
      <c r="E20" s="38" t="n">
        <v>46268</v>
      </c>
      <c r="F20" s="12" t="n"/>
      <c r="G20" s="40" t="inlineStr">
        <is>
          <t>PLANNED</t>
        </is>
      </c>
      <c r="H20" s="26" t="n"/>
      <c r="I20" s="26" t="n"/>
      <c r="J20" s="12" t="n"/>
      <c r="K20" s="26" t="n"/>
      <c r="L20" s="12" t="n"/>
    </row>
    <row r="21">
      <c r="B21" s="37" t="n">
        <v>12</v>
      </c>
      <c r="C21" s="12" t="n"/>
      <c r="D21" s="12" t="n"/>
      <c r="E21" s="38" t="n">
        <v>46268</v>
      </c>
      <c r="F21" s="12" t="n"/>
      <c r="G21" s="40" t="inlineStr">
        <is>
          <t>PLANNED</t>
        </is>
      </c>
      <c r="H21" s="26" t="n"/>
      <c r="I21" s="26" t="n"/>
      <c r="J21" s="12" t="n"/>
      <c r="K21" s="26" t="n"/>
      <c r="L21" s="12" t="n"/>
    </row>
    <row r="23">
      <c r="B23" s="2" t="inlineStr">
        <is>
          <t>Reference: the Phase 2 pool is 6 active pilots (Kingsmead, St Albans, Dainfern College, Umtata International, St Jude Private, Christ The King International) plus 2 backups (Strategic High, Excelsior High). Source: v4 sheet 07_Pilot_Schools.</t>
        </is>
      </c>
    </row>
    <row r="24">
      <c r="B24" s="2" t="inlineStr">
        <is>
          <t>Every visit carries a QR code whose link is registered in 09_UTM_Register with utm_content set to the tag in column J. A visit with no tag produces sales nobody can attribute to it.</t>
        </is>
      </c>
    </row>
    <row r="25">
      <c r="B25" s="2" t="inlineStr">
        <is>
          <t>Signups captured here must equal the GE2 signups captured entered in 05_Daily_Log for the same date.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K23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4" customWidth="1" min="4" max="4"/>
    <col width="22" customWidth="1" min="5" max="5"/>
    <col width="22" customWidth="1" min="6" max="6"/>
    <col width="40" customWidth="1" min="7" max="7"/>
    <col width="74" customWidth="1" min="8" max="8"/>
    <col width="8" customWidth="1" min="9" max="9"/>
    <col width="20" customWidth="1" min="10" max="10"/>
    <col width="12" customWidth="1" min="11" max="11"/>
  </cols>
  <sheetData>
    <row r="2" ht="27" customHeight="1">
      <c r="B2" s="1" t="inlineStr">
        <is>
          <t>UTM REGISTER</t>
        </is>
      </c>
    </row>
    <row r="3" ht="13" customHeight="1">
      <c r="B3" s="2" t="inlineStr">
        <is>
          <t>Every link used in the sprint. A link that is not on this sheet cannot be attributed, so the sale it produces counts for nobody.</t>
        </is>
      </c>
    </row>
    <row r="5" ht="20" customHeight="1">
      <c r="B5" s="3" t="inlineStr">
        <is>
          <t>Type into the yellow cells. Column H builds itself</t>
        </is>
      </c>
      <c r="C5" s="4" t="n"/>
      <c r="D5" s="4" t="n"/>
      <c r="E5" s="4" t="n"/>
      <c r="F5" s="4" t="n"/>
      <c r="G5" s="4" t="n"/>
      <c r="H5" s="4" t="n"/>
      <c r="I5" s="4" t="n"/>
      <c r="J5" s="4" t="n"/>
    </row>
    <row r="6" ht="26" customHeight="1">
      <c r="B6" s="11" t="inlineStr">
        <is>
          <t>Purpose</t>
        </is>
      </c>
      <c r="C6" s="11" t="inlineStr">
        <is>
          <t>Source</t>
        </is>
      </c>
      <c r="D6" s="11" t="inlineStr">
        <is>
          <t>Medium</t>
        </is>
      </c>
      <c r="E6" s="11" t="inlineStr">
        <is>
          <t>Campaign</t>
        </is>
      </c>
      <c r="F6" s="11" t="inlineStr">
        <is>
          <t>Content</t>
        </is>
      </c>
      <c r="G6" s="11" t="inlineStr">
        <is>
          <t>Landing URL</t>
        </is>
      </c>
      <c r="H6" s="11" t="inlineStr">
        <is>
          <t>Tagged URL, copy this one</t>
        </is>
      </c>
      <c r="I6" s="11" t="inlineStr">
        <is>
          <t>GE</t>
        </is>
      </c>
      <c r="J6" s="11" t="inlineStr">
        <is>
          <t>Owner</t>
        </is>
      </c>
      <c r="K6" s="11" t="inlineStr">
        <is>
          <t>Live from</t>
        </is>
      </c>
    </row>
    <row r="7">
      <c r="B7" s="6" t="inlineStr">
        <is>
          <t>Meta paid, parent audience</t>
        </is>
      </c>
      <c r="C7" s="12" t="inlineStr">
        <is>
          <t>meta</t>
        </is>
      </c>
      <c r="D7" s="12" t="inlineStr">
        <is>
          <t>paid-social</t>
        </is>
      </c>
      <c r="E7" s="12" t="inlineStr">
        <is>
          <t>qualifying-sprint</t>
        </is>
      </c>
      <c r="F7" s="12" t="inlineStr">
        <is>
          <t>meta-set-a</t>
        </is>
      </c>
      <c r="G7" s="12" t="inlineStr">
        <is>
          <t>https://bridgeapp.co.za/uniapply-parents</t>
        </is>
      </c>
      <c r="H7" s="63">
        <f>IF(OR(G7="",C7="",D7=""),"",G7&amp;"?utm_source="&amp;SUBSTITUTE(SUBSTITUTE(SUBSTITUTE(LOWER(TRIM(C7))," ","-"),"/","-"),"--","-")&amp;"&amp;utm_medium="&amp;SUBSTITUTE(SUBSTITUTE(SUBSTITUTE(LOWER(TRIM(D7))," ","-"),"/","-"),"--","-")&amp;IF(E7="","","&amp;utm_campaign="&amp;SUBSTITUTE(SUBSTITUTE(SUBSTITUTE(LOWER(TRIM(E7))," ","-"),"/","-"),"--","-"))&amp;IF(F7="","","&amp;utm_content="&amp;SUBSTITUTE(SUBSTITUTE(SUBSTITUTE(LOWER(TRIM(F7))," ","-"),"/","-"),"--","-")))</f>
        <v/>
      </c>
      <c r="I7" s="41" t="inlineStr">
        <is>
          <t>GE1</t>
        </is>
      </c>
      <c r="J7" s="12" t="inlineStr">
        <is>
          <t>TBC</t>
        </is>
      </c>
      <c r="K7" s="64" t="n"/>
    </row>
    <row r="8">
      <c r="B8" s="6" t="inlineStr">
        <is>
          <t>Meta paid, retargeting July leads</t>
        </is>
      </c>
      <c r="C8" s="12" t="inlineStr">
        <is>
          <t>meta</t>
        </is>
      </c>
      <c r="D8" s="12" t="inlineStr">
        <is>
          <t>paid-social</t>
        </is>
      </c>
      <c r="E8" s="12" t="inlineStr">
        <is>
          <t>qualifying-sprint</t>
        </is>
      </c>
      <c r="F8" s="12" t="inlineStr">
        <is>
          <t>meta-retarget</t>
        </is>
      </c>
      <c r="G8" s="12" t="inlineStr">
        <is>
          <t>https://bridgeapp.co.za/uniapply-parents</t>
        </is>
      </c>
      <c r="H8" s="63">
        <f>IF(OR(G8="",C8="",D8=""),"",G8&amp;"?utm_source="&amp;SUBSTITUTE(SUBSTITUTE(SUBSTITUTE(LOWER(TRIM(C8))," ","-"),"/","-"),"--","-")&amp;"&amp;utm_medium="&amp;SUBSTITUTE(SUBSTITUTE(SUBSTITUTE(LOWER(TRIM(D8))," ","-"),"/","-"),"--","-")&amp;IF(E8="","","&amp;utm_campaign="&amp;SUBSTITUTE(SUBSTITUTE(SUBSTITUTE(LOWER(TRIM(E8))," ","-"),"/","-"),"--","-"))&amp;IF(F8="","","&amp;utm_content="&amp;SUBSTITUTE(SUBSTITUTE(SUBSTITUTE(LOWER(TRIM(F8))," ","-"),"/","-"),"--","-")))</f>
        <v/>
      </c>
      <c r="I8" s="41" t="inlineStr">
        <is>
          <t>GE1</t>
        </is>
      </c>
      <c r="J8" s="12" t="inlineStr">
        <is>
          <t>TBC</t>
        </is>
      </c>
      <c r="K8" s="64" t="n"/>
    </row>
    <row r="9">
      <c r="B9" s="6" t="inlineStr">
        <is>
          <t>Google paid search, brand</t>
        </is>
      </c>
      <c r="C9" s="12" t="inlineStr">
        <is>
          <t>google</t>
        </is>
      </c>
      <c r="D9" s="12" t="inlineStr">
        <is>
          <t>paid-search</t>
        </is>
      </c>
      <c r="E9" s="12" t="inlineStr">
        <is>
          <t>qualifying-sprint</t>
        </is>
      </c>
      <c r="F9" s="12" t="inlineStr">
        <is>
          <t>brand</t>
        </is>
      </c>
      <c r="G9" s="12" t="inlineStr">
        <is>
          <t>https://bridgeapp.co.za/uniapply-parents</t>
        </is>
      </c>
      <c r="H9" s="63">
        <f>IF(OR(G9="",C9="",D9=""),"",G9&amp;"?utm_source="&amp;SUBSTITUTE(SUBSTITUTE(SUBSTITUTE(LOWER(TRIM(C9))," ","-"),"/","-"),"--","-")&amp;"&amp;utm_medium="&amp;SUBSTITUTE(SUBSTITUTE(SUBSTITUTE(LOWER(TRIM(D9))," ","-"),"/","-"),"--","-")&amp;IF(E9="","","&amp;utm_campaign="&amp;SUBSTITUTE(SUBSTITUTE(SUBSTITUTE(LOWER(TRIM(E9))," ","-"),"/","-"),"--","-"))&amp;IF(F9="","","&amp;utm_content="&amp;SUBSTITUTE(SUBSTITUTE(SUBSTITUTE(LOWER(TRIM(F9))," ","-"),"/","-"),"--","-")))</f>
        <v/>
      </c>
      <c r="I9" s="41" t="inlineStr">
        <is>
          <t>GE1</t>
        </is>
      </c>
      <c r="J9" s="12" t="inlineStr">
        <is>
          <t>TBC</t>
        </is>
      </c>
      <c r="K9" s="64" t="n"/>
    </row>
    <row r="10">
      <c r="B10" s="6" t="inlineStr">
        <is>
          <t>LinkedIn paid, school leaders</t>
        </is>
      </c>
      <c r="C10" s="12" t="inlineStr">
        <is>
          <t>linkedin</t>
        </is>
      </c>
      <c r="D10" s="12" t="inlineStr">
        <is>
          <t>paid-social</t>
        </is>
      </c>
      <c r="E10" s="12" t="inlineStr">
        <is>
          <t>qualifying-sprint</t>
        </is>
      </c>
      <c r="F10" s="12" t="inlineStr">
        <is>
          <t>school-leaders</t>
        </is>
      </c>
      <c r="G10" s="12" t="inlineStr">
        <is>
          <t>https://bridgeapp.co.za/uniapply-parents</t>
        </is>
      </c>
      <c r="H10" s="63">
        <f>IF(OR(G10="",C10="",D10=""),"",G10&amp;"?utm_source="&amp;SUBSTITUTE(SUBSTITUTE(SUBSTITUTE(LOWER(TRIM(C10))," ","-"),"/","-"),"--","-")&amp;"&amp;utm_medium="&amp;SUBSTITUTE(SUBSTITUTE(SUBSTITUTE(LOWER(TRIM(D10))," ","-"),"/","-"),"--","-")&amp;IF(E10="","","&amp;utm_campaign="&amp;SUBSTITUTE(SUBSTITUTE(SUBSTITUTE(LOWER(TRIM(E10))," ","-"),"/","-"),"--","-"))&amp;IF(F10="","","&amp;utm_content="&amp;SUBSTITUTE(SUBSTITUTE(SUBSTITUTE(LOWER(TRIM(F10))," ","-"),"/","-"),"--","-")))</f>
        <v/>
      </c>
      <c r="I10" s="41" t="inlineStr">
        <is>
          <t>GE1</t>
        </is>
      </c>
      <c r="J10" s="12" t="inlineStr">
        <is>
          <t>TBC</t>
        </is>
      </c>
      <c r="K10" s="64" t="n"/>
    </row>
    <row r="11">
      <c r="B11" s="6" t="inlineStr">
        <is>
          <t>Boosted organic, best of last week</t>
        </is>
      </c>
      <c r="C11" s="12" t="inlineStr">
        <is>
          <t>facebook</t>
        </is>
      </c>
      <c r="D11" s="12" t="inlineStr">
        <is>
          <t>boosted</t>
        </is>
      </c>
      <c r="E11" s="12" t="inlineStr">
        <is>
          <t>qualifying-sprint</t>
        </is>
      </c>
      <c r="F11" s="12" t="inlineStr">
        <is>
          <t>weekly-boost</t>
        </is>
      </c>
      <c r="G11" s="12" t="inlineStr">
        <is>
          <t>https://bridgeapp.co.za/uniapply-parents</t>
        </is>
      </c>
      <c r="H11" s="63">
        <f>IF(OR(G11="",C11="",D11=""),"",G11&amp;"?utm_source="&amp;SUBSTITUTE(SUBSTITUTE(SUBSTITUTE(LOWER(TRIM(C11))," ","-"),"/","-"),"--","-")&amp;"&amp;utm_medium="&amp;SUBSTITUTE(SUBSTITUTE(SUBSTITUTE(LOWER(TRIM(D11))," ","-"),"/","-"),"--","-")&amp;IF(E11="","","&amp;utm_campaign="&amp;SUBSTITUTE(SUBSTITUTE(SUBSTITUTE(LOWER(TRIM(E11))," ","-"),"/","-"),"--","-"))&amp;IF(F11="","","&amp;utm_content="&amp;SUBSTITUTE(SUBSTITUTE(SUBSTITUTE(LOWER(TRIM(F11))," ","-"),"/","-"),"--","-")))</f>
        <v/>
      </c>
      <c r="I11" s="41" t="inlineStr">
        <is>
          <t>GE1</t>
        </is>
      </c>
      <c r="J11" s="12" t="inlineStr">
        <is>
          <t>TBC</t>
        </is>
      </c>
      <c r="K11" s="64" t="n"/>
    </row>
    <row r="12">
      <c r="B12" s="6" t="inlineStr">
        <is>
          <t>Influencer Wave 3, GP creator</t>
        </is>
      </c>
      <c r="C12" s="12" t="inlineStr">
        <is>
          <t>influencer</t>
        </is>
      </c>
      <c r="D12" s="12" t="inlineStr">
        <is>
          <t>referral</t>
        </is>
      </c>
      <c r="E12" s="12" t="inlineStr">
        <is>
          <t>qualifying-sprint</t>
        </is>
      </c>
      <c r="F12" s="12" t="inlineStr">
        <is>
          <t>wave-3-gp</t>
        </is>
      </c>
      <c r="G12" s="12" t="inlineStr">
        <is>
          <t>https://bridgeapp.co.za/uniapply-parents</t>
        </is>
      </c>
      <c r="H12" s="63">
        <f>IF(OR(G12="",C12="",D12=""),"",G12&amp;"?utm_source="&amp;SUBSTITUTE(SUBSTITUTE(SUBSTITUTE(LOWER(TRIM(C12))," ","-"),"/","-"),"--","-")&amp;"&amp;utm_medium="&amp;SUBSTITUTE(SUBSTITUTE(SUBSTITUTE(LOWER(TRIM(D12))," ","-"),"/","-"),"--","-")&amp;IF(E12="","","&amp;utm_campaign="&amp;SUBSTITUTE(SUBSTITUTE(SUBSTITUTE(LOWER(TRIM(E12))," ","-"),"/","-"),"--","-"))&amp;IF(F12="","","&amp;utm_content="&amp;SUBSTITUTE(SUBSTITUTE(SUBSTITUTE(LOWER(TRIM(F12))," ","-"),"/","-"),"--","-")))</f>
        <v/>
      </c>
      <c r="I12" s="41" t="inlineStr">
        <is>
          <t>GE1</t>
        </is>
      </c>
      <c r="J12" s="12" t="inlineStr">
        <is>
          <t>TBC</t>
        </is>
      </c>
      <c r="K12" s="64" t="n"/>
    </row>
    <row r="13">
      <c r="B13" s="6" t="inlineStr">
        <is>
          <t>Instagram bio link</t>
        </is>
      </c>
      <c r="C13" s="12" t="inlineStr">
        <is>
          <t>instagram</t>
        </is>
      </c>
      <c r="D13" s="12" t="inlineStr">
        <is>
          <t>organic-social</t>
        </is>
      </c>
      <c r="E13" s="12" t="inlineStr">
        <is>
          <t>qualifying-sprint</t>
        </is>
      </c>
      <c r="F13" s="12" t="inlineStr">
        <is>
          <t>bio-link</t>
        </is>
      </c>
      <c r="G13" s="12" t="inlineStr">
        <is>
          <t>https://bridgeapp.co.za/uniapply-parents</t>
        </is>
      </c>
      <c r="H13" s="63">
        <f>IF(OR(G13="",C13="",D13=""),"",G13&amp;"?utm_source="&amp;SUBSTITUTE(SUBSTITUTE(SUBSTITUTE(LOWER(TRIM(C13))," ","-"),"/","-"),"--","-")&amp;"&amp;utm_medium="&amp;SUBSTITUTE(SUBSTITUTE(SUBSTITUTE(LOWER(TRIM(D13))," ","-"),"/","-"),"--","-")&amp;IF(E13="","","&amp;utm_campaign="&amp;SUBSTITUTE(SUBSTITUTE(SUBSTITUTE(LOWER(TRIM(E13))," ","-"),"/","-"),"--","-"))&amp;IF(F13="","","&amp;utm_content="&amp;SUBSTITUTE(SUBSTITUTE(SUBSTITUTE(LOWER(TRIM(F13))," ","-"),"/","-"),"--","-")))</f>
        <v/>
      </c>
      <c r="I13" s="41" t="inlineStr">
        <is>
          <t>GE1</t>
        </is>
      </c>
      <c r="J13" s="12" t="inlineStr">
        <is>
          <t>TBC</t>
        </is>
      </c>
      <c r="K13" s="64" t="n"/>
    </row>
    <row r="14">
      <c r="B14" s="6" t="inlineStr">
        <is>
          <t>WhatsApp concierge broadcast</t>
        </is>
      </c>
      <c r="C14" s="12" t="inlineStr">
        <is>
          <t>whatsapp</t>
        </is>
      </c>
      <c r="D14" s="12" t="inlineStr">
        <is>
          <t>message</t>
        </is>
      </c>
      <c r="E14" s="12" t="inlineStr">
        <is>
          <t>qualifying-sprint</t>
        </is>
      </c>
      <c r="F14" s="12" t="inlineStr">
        <is>
          <t>broadcast</t>
        </is>
      </c>
      <c r="G14" s="12" t="inlineStr">
        <is>
          <t>https://bridgeapp.co.za/uniapply-parents</t>
        </is>
      </c>
      <c r="H14" s="63">
        <f>IF(OR(G14="",C14="",D14=""),"",G14&amp;"?utm_source="&amp;SUBSTITUTE(SUBSTITUTE(SUBSTITUTE(LOWER(TRIM(C14))," ","-"),"/","-"),"--","-")&amp;"&amp;utm_medium="&amp;SUBSTITUTE(SUBSTITUTE(SUBSTITUTE(LOWER(TRIM(D14))," ","-"),"/","-"),"--","-")&amp;IF(E14="","","&amp;utm_campaign="&amp;SUBSTITUTE(SUBSTITUTE(SUBSTITUTE(LOWER(TRIM(E14))," ","-"),"/","-"),"--","-"))&amp;IF(F14="","","&amp;utm_content="&amp;SUBSTITUTE(SUBSTITUTE(SUBSTITUTE(LOWER(TRIM(F14))," ","-"),"/","-"),"--","-")))</f>
        <v/>
      </c>
      <c r="I14" s="41" t="inlineStr">
        <is>
          <t>GE1</t>
        </is>
      </c>
      <c r="J14" s="12" t="inlineStr">
        <is>
          <t>TBC</t>
        </is>
      </c>
      <c r="K14" s="64" t="n"/>
    </row>
    <row r="15">
      <c r="B15" s="6" t="inlineStr">
        <is>
          <t>Nurture emailer</t>
        </is>
      </c>
      <c r="C15" s="12" t="inlineStr">
        <is>
          <t>email</t>
        </is>
      </c>
      <c r="D15" s="12" t="inlineStr">
        <is>
          <t>email</t>
        </is>
      </c>
      <c r="E15" s="12" t="inlineStr">
        <is>
          <t>qualifying-sprint</t>
        </is>
      </c>
      <c r="F15" s="12" t="inlineStr">
        <is>
          <t>nurture-1</t>
        </is>
      </c>
      <c r="G15" s="12" t="inlineStr">
        <is>
          <t>https://bridgeapp.co.za/uniapply-parents</t>
        </is>
      </c>
      <c r="H15" s="63">
        <f>IF(OR(G15="",C15="",D15=""),"",G15&amp;"?utm_source="&amp;SUBSTITUTE(SUBSTITUTE(SUBSTITUTE(LOWER(TRIM(C15))," ","-"),"/","-"),"--","-")&amp;"&amp;utm_medium="&amp;SUBSTITUTE(SUBSTITUTE(SUBSTITUTE(LOWER(TRIM(D15))," ","-"),"/","-"),"--","-")&amp;IF(E15="","","&amp;utm_campaign="&amp;SUBSTITUTE(SUBSTITUTE(SUBSTITUTE(LOWER(TRIM(E15))," ","-"),"/","-"),"--","-"))&amp;IF(F15="","","&amp;utm_content="&amp;SUBSTITUTE(SUBSTITUTE(SUBSTITUTE(LOWER(TRIM(F15))," ","-"),"/","-"),"--","-")))</f>
        <v/>
      </c>
      <c r="I15" s="41" t="inlineStr">
        <is>
          <t>GE1</t>
        </is>
      </c>
      <c r="J15" s="12" t="inlineStr">
        <is>
          <t>TBC</t>
        </is>
      </c>
      <c r="K15" s="64" t="n"/>
    </row>
    <row r="16">
      <c r="B16" s="6" t="inlineStr">
        <is>
          <t>School visit QR, generic</t>
        </is>
      </c>
      <c r="C16" s="12" t="inlineStr">
        <is>
          <t>school-visits</t>
        </is>
      </c>
      <c r="D16" s="12" t="inlineStr">
        <is>
          <t>qr</t>
        </is>
      </c>
      <c r="E16" s="12" t="inlineStr">
        <is>
          <t>qualifying-sprint</t>
        </is>
      </c>
      <c r="F16" s="12" t="inlineStr"/>
      <c r="G16" s="12" t="inlineStr">
        <is>
          <t>https://bridgeapp.co.za/uniapply-parents</t>
        </is>
      </c>
      <c r="H16" s="63">
        <f>IF(OR(G16="",C16="",D16=""),"",G16&amp;"?utm_source="&amp;SUBSTITUTE(SUBSTITUTE(SUBSTITUTE(LOWER(TRIM(C16))," ","-"),"/","-"),"--","-")&amp;"&amp;utm_medium="&amp;SUBSTITUTE(SUBSTITUTE(SUBSTITUTE(LOWER(TRIM(D16))," ","-"),"/","-"),"--","-")&amp;IF(E16="","","&amp;utm_campaign="&amp;SUBSTITUTE(SUBSTITUTE(SUBSTITUTE(LOWER(TRIM(E16))," ","-"),"/","-"),"--","-"))&amp;IF(F16="","","&amp;utm_content="&amp;SUBSTITUTE(SUBSTITUTE(SUBSTITUTE(LOWER(TRIM(F16))," ","-"),"/","-"),"--","-")))</f>
        <v/>
      </c>
      <c r="I16" s="42" t="inlineStr">
        <is>
          <t>GE2</t>
        </is>
      </c>
      <c r="J16" s="12" t="inlineStr">
        <is>
          <t>TBC</t>
        </is>
      </c>
      <c r="K16" s="64" t="n"/>
    </row>
    <row r="17">
      <c r="B17" s="6" t="inlineStr">
        <is>
          <t>School visit QR, per school</t>
        </is>
      </c>
      <c r="C17" s="12" t="inlineStr">
        <is>
          <t>school-visits</t>
        </is>
      </c>
      <c r="D17" s="12" t="inlineStr">
        <is>
          <t>qr</t>
        </is>
      </c>
      <c r="E17" s="12" t="inlineStr">
        <is>
          <t>qualifying-sprint</t>
        </is>
      </c>
      <c r="F17" s="12" t="inlineStr">
        <is>
          <t>school-kingsmead</t>
        </is>
      </c>
      <c r="G17" s="12" t="inlineStr">
        <is>
          <t>https://bridgeapp.co.za/uniapply-parents</t>
        </is>
      </c>
      <c r="H17" s="63">
        <f>IF(OR(G17="",C17="",D17=""),"",G17&amp;"?utm_source="&amp;SUBSTITUTE(SUBSTITUTE(SUBSTITUTE(LOWER(TRIM(C17))," ","-"),"/","-"),"--","-")&amp;"&amp;utm_medium="&amp;SUBSTITUTE(SUBSTITUTE(SUBSTITUTE(LOWER(TRIM(D17))," ","-"),"/","-"),"--","-")&amp;IF(E17="","","&amp;utm_campaign="&amp;SUBSTITUTE(SUBSTITUTE(SUBSTITUTE(LOWER(TRIM(E17))," ","-"),"/","-"),"--","-"))&amp;IF(F17="","","&amp;utm_content="&amp;SUBSTITUTE(SUBSTITUTE(SUBSTITUTE(LOWER(TRIM(F17))," ","-"),"/","-"),"--","-")))</f>
        <v/>
      </c>
      <c r="I17" s="42" t="inlineStr">
        <is>
          <t>GE2</t>
        </is>
      </c>
      <c r="J17" s="12" t="inlineStr">
        <is>
          <t>TBC</t>
        </is>
      </c>
      <c r="K17" s="64" t="n"/>
    </row>
    <row r="18">
      <c r="B18" s="6" t="inlineStr">
        <is>
          <t>Exhibition and conference QR</t>
        </is>
      </c>
      <c r="C18" s="12" t="inlineStr">
        <is>
          <t>school-events</t>
        </is>
      </c>
      <c r="D18" s="12" t="inlineStr">
        <is>
          <t>qr</t>
        </is>
      </c>
      <c r="E18" s="12" t="inlineStr">
        <is>
          <t>qualifying-sprint</t>
        </is>
      </c>
      <c r="F18" s="12" t="inlineStr">
        <is>
          <t>sahisa-durban</t>
        </is>
      </c>
      <c r="G18" s="12" t="inlineStr">
        <is>
          <t>https://bridgeapp.co.za/uniapply-parents</t>
        </is>
      </c>
      <c r="H18" s="63">
        <f>IF(OR(G18="",C18="",D18=""),"",G18&amp;"?utm_source="&amp;SUBSTITUTE(SUBSTITUTE(SUBSTITUTE(LOWER(TRIM(C18))," ","-"),"/","-"),"--","-")&amp;"&amp;utm_medium="&amp;SUBSTITUTE(SUBSTITUTE(SUBSTITUTE(LOWER(TRIM(D18))," ","-"),"/","-"),"--","-")&amp;IF(E18="","","&amp;utm_campaign="&amp;SUBSTITUTE(SUBSTITUTE(SUBSTITUTE(LOWER(TRIM(E18))," ","-"),"/","-"),"--","-"))&amp;IF(F18="","","&amp;utm_content="&amp;SUBSTITUTE(SUBSTITUTE(SUBSTITUTE(LOWER(TRIM(F18))," ","-"),"/","-"),"--","-")))</f>
        <v/>
      </c>
      <c r="I18" s="42" t="inlineStr">
        <is>
          <t>GE2</t>
        </is>
      </c>
      <c r="J18" s="12" t="inlineStr">
        <is>
          <t>TBC</t>
        </is>
      </c>
      <c r="K18" s="64" t="n"/>
    </row>
    <row r="19">
      <c r="B19" s="6" t="inlineStr">
        <is>
          <t>Parent info session handout</t>
        </is>
      </c>
      <c r="C19" s="12" t="inlineStr">
        <is>
          <t>school-visits</t>
        </is>
      </c>
      <c r="D19" s="12" t="inlineStr">
        <is>
          <t>print</t>
        </is>
      </c>
      <c r="E19" s="12" t="inlineStr">
        <is>
          <t>qualifying-sprint</t>
        </is>
      </c>
      <c r="F19" s="12" t="inlineStr">
        <is>
          <t>info-session</t>
        </is>
      </c>
      <c r="G19" s="12" t="inlineStr">
        <is>
          <t>https://bridgeapp.co.za/uniapply-parents</t>
        </is>
      </c>
      <c r="H19" s="63">
        <f>IF(OR(G19="",C19="",D19=""),"",G19&amp;"?utm_source="&amp;SUBSTITUTE(SUBSTITUTE(SUBSTITUTE(LOWER(TRIM(C19))," ","-"),"/","-"),"--","-")&amp;"&amp;utm_medium="&amp;SUBSTITUTE(SUBSTITUTE(SUBSTITUTE(LOWER(TRIM(D19))," ","-"),"/","-"),"--","-")&amp;IF(E19="","","&amp;utm_campaign="&amp;SUBSTITUTE(SUBSTITUTE(SUBSTITUTE(LOWER(TRIM(E19))," ","-"),"/","-"),"--","-"))&amp;IF(F19="","","&amp;utm_content="&amp;SUBSTITUTE(SUBSTITUTE(SUBSTITUTE(LOWER(TRIM(F19))," ","-"),"/","-"),"--","-")))</f>
        <v/>
      </c>
      <c r="I19" s="42" t="inlineStr">
        <is>
          <t>GE2</t>
        </is>
      </c>
      <c r="J19" s="12" t="inlineStr">
        <is>
          <t>TBC</t>
        </is>
      </c>
      <c r="K19" s="64" t="n"/>
    </row>
    <row r="21">
      <c r="B21" s="2" t="inlineStr">
        <is>
          <t>Landing URL is pre-filled with the parent page path. If the page is not deployed by day 1, change column G to the live destination on every row before any spend starts.</t>
        </is>
      </c>
    </row>
    <row r="22">
      <c r="B22" s="2" t="inlineStr">
        <is>
          <t>Source and medium are compulsory. Campaign and content are optional and the formula leaves them out when blank.</t>
        </is>
      </c>
    </row>
    <row r="23">
      <c r="B23" s="2" t="inlineStr">
        <is>
          <t>Everything is forced to lower case with spaces turned into hyphens, because GA4 treats Meta and meta as two different sources.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31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7" customWidth="1" min="3" max="3"/>
    <col width="10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2" ht="27" customHeight="1">
      <c r="B2" s="1" t="inlineStr">
        <is>
          <t>KPI DASHBOARD</t>
        </is>
      </c>
    </row>
    <row r="3" ht="13" customHeight="1">
      <c r="B3" s="2" t="inlineStr">
        <is>
          <t>Current reads live from 05_Daily_Log. Target and Trigger are fixed before the sprint starts and are not edited during it. Read at every Monday stand up.</t>
        </is>
      </c>
    </row>
    <row r="5" ht="20" customHeight="1">
      <c r="B5" s="3" t="inlineStr">
        <is>
          <t>GE1: Paid media. Owner: Performance Marketer</t>
        </is>
      </c>
      <c r="C5" s="4" t="n"/>
      <c r="D5" s="4" t="n"/>
      <c r="E5" s="4" t="n"/>
      <c r="F5" s="4" t="n"/>
      <c r="G5" s="4" t="n"/>
      <c r="H5" s="4" t="n"/>
      <c r="I5" s="4" t="n"/>
    </row>
    <row r="6" ht="26" customHeight="1">
      <c r="B6" s="11" t="inlineStr">
        <is>
          <t>KPI</t>
        </is>
      </c>
      <c r="C6" s="11" t="inlineStr">
        <is>
          <t>GE</t>
        </is>
      </c>
      <c r="D6" s="11" t="inlineStr">
        <is>
          <t>Cadence</t>
        </is>
      </c>
      <c r="E6" s="11" t="inlineStr">
        <is>
          <t>Owner</t>
        </is>
      </c>
      <c r="F6" s="11" t="inlineStr">
        <is>
          <t>Current</t>
        </is>
      </c>
      <c r="G6" s="11" t="inlineStr">
        <is>
          <t>Target</t>
        </is>
      </c>
      <c r="H6" s="11" t="inlineStr">
        <is>
          <t>Trigger</t>
        </is>
      </c>
      <c r="I6" s="11" t="inlineStr">
        <is>
          <t>Good when</t>
        </is>
      </c>
      <c r="J6" s="11" t="inlineStr">
        <is>
          <t>Status</t>
        </is>
      </c>
    </row>
    <row r="7">
      <c r="B7" s="6" t="inlineStr">
        <is>
          <t>Cost per sale, blended paid</t>
        </is>
      </c>
      <c r="C7" s="37" t="inlineStr">
        <is>
          <t>GE1</t>
        </is>
      </c>
      <c r="D7" s="47" t="inlineStr">
        <is>
          <t>W</t>
        </is>
      </c>
      <c r="E7" s="13" t="inlineStr">
        <is>
          <t>Performance Marketer</t>
        </is>
      </c>
      <c r="F7" s="36">
        <f>'06_GE1_Paid_Media'!$C$11</f>
        <v/>
      </c>
      <c r="G7" s="65">
        <f>'03_Sprint_Drivers'!$C$26</f>
        <v/>
      </c>
      <c r="H7" s="66">
        <f>'03_Sprint_Drivers'!$C$26*2</f>
        <v/>
      </c>
      <c r="I7" s="47" t="inlineStr">
        <is>
          <t>lower</t>
        </is>
      </c>
      <c r="J7" s="43">
        <f>IF(NOT(ISNUMBER(H7)),"MANUAL",IF(F7=0,"NO DATA",IF(F7&gt;H7,"REVIEW","OK")))</f>
        <v/>
      </c>
    </row>
    <row r="8">
      <c r="B8" s="6" t="inlineStr">
        <is>
          <t>Sales banked, GE1</t>
        </is>
      </c>
      <c r="C8" s="37" t="inlineStr">
        <is>
          <t>GE1</t>
        </is>
      </c>
      <c r="D8" s="47" t="inlineStr">
        <is>
          <t>W</t>
        </is>
      </c>
      <c r="E8" s="13" t="inlineStr">
        <is>
          <t>Performance Marketer</t>
        </is>
      </c>
      <c r="F8" s="24">
        <f>'06_GE1_Paid_Media'!$C$10</f>
        <v/>
      </c>
      <c r="G8" s="67">
        <f>'03_Sprint_Drivers'!$C$17</f>
        <v/>
      </c>
      <c r="H8" s="68">
        <f>ROUND('03_Sprint_Drivers'!$C$17*0.5,0)</f>
        <v/>
      </c>
      <c r="I8" s="47" t="inlineStr">
        <is>
          <t>higher</t>
        </is>
      </c>
      <c r="J8" s="43">
        <f>IF(NOT(ISNUMBER(H8)),"MANUAL",IF(F8&lt;H8,"REVIEW","OK"))</f>
        <v/>
      </c>
    </row>
    <row r="9">
      <c r="B9" s="6" t="inlineStr">
        <is>
          <t>Cost per signup</t>
        </is>
      </c>
      <c r="C9" s="37" t="inlineStr">
        <is>
          <t>GE1</t>
        </is>
      </c>
      <c r="D9" s="47" t="inlineStr">
        <is>
          <t>W</t>
        </is>
      </c>
      <c r="E9" s="13" t="inlineStr">
        <is>
          <t>Performance Marketer</t>
        </is>
      </c>
      <c r="F9" s="36">
        <f>'06_GE1_Paid_Media'!$C$12</f>
        <v/>
      </c>
      <c r="G9" s="65" t="n">
        <v>85</v>
      </c>
      <c r="H9" s="66" t="n">
        <v>120</v>
      </c>
      <c r="I9" s="47" t="inlineStr">
        <is>
          <t>lower</t>
        </is>
      </c>
      <c r="J9" s="43">
        <f>IF(NOT(ISNUMBER(H9)),"MANUAL",IF(F9=0,"NO DATA",IF(F9&gt;H9,"REVIEW","OK")))</f>
        <v/>
      </c>
    </row>
    <row r="10">
      <c r="B10" s="6" t="inlineStr">
        <is>
          <t>Signup to sale rate</t>
        </is>
      </c>
      <c r="C10" s="37" t="inlineStr">
        <is>
          <t>GE1</t>
        </is>
      </c>
      <c r="D10" s="47" t="inlineStr">
        <is>
          <t>W</t>
        </is>
      </c>
      <c r="E10" s="13" t="inlineStr">
        <is>
          <t>Performance Marketer</t>
        </is>
      </c>
      <c r="F10" s="28">
        <f>'06_GE1_Paid_Media'!$C$14</f>
        <v/>
      </c>
      <c r="G10" s="31" t="n">
        <v>0.04</v>
      </c>
      <c r="H10" s="69" t="n">
        <v>0.025</v>
      </c>
      <c r="I10" s="47" t="inlineStr">
        <is>
          <t>higher</t>
        </is>
      </c>
      <c r="J10" s="43">
        <f>IF(NOT(ISNUMBER(H10)),"MANUAL",IF(F10&lt;H10,"REVIEW","OK"))</f>
        <v/>
      </c>
    </row>
    <row r="11">
      <c r="B11" s="6" t="inlineStr">
        <is>
          <t>Spend left in the cap</t>
        </is>
      </c>
      <c r="C11" s="37" t="inlineStr">
        <is>
          <t>GE1</t>
        </is>
      </c>
      <c r="D11" s="47" t="inlineStr">
        <is>
          <t>W</t>
        </is>
      </c>
      <c r="E11" s="13" t="inlineStr">
        <is>
          <t>Performance Marketer</t>
        </is>
      </c>
      <c r="F11" s="36">
        <f>'06_GE1_Paid_Media'!$C$15</f>
        <v/>
      </c>
      <c r="G11" s="65" t="n">
        <v>0</v>
      </c>
      <c r="H11" s="66" t="n">
        <v>0</v>
      </c>
      <c r="I11" s="47" t="inlineStr">
        <is>
          <t>higher</t>
        </is>
      </c>
      <c r="J11" s="43">
        <f>IF(NOT(ISNUMBER(H11)),"MANUAL",IF(F11&lt;H11,"REVIEW","OK"))</f>
        <v/>
      </c>
    </row>
    <row r="13" ht="20" customHeight="1">
      <c r="B13" s="3" t="inlineStr">
        <is>
          <t>GE2: School outreach. Owner: Schools Coordinator</t>
        </is>
      </c>
      <c r="C13" s="4" t="n"/>
      <c r="D13" s="4" t="n"/>
      <c r="E13" s="4" t="n"/>
      <c r="F13" s="4" t="n"/>
      <c r="G13" s="4" t="n"/>
      <c r="H13" s="4" t="n"/>
      <c r="I13" s="4" t="n"/>
    </row>
    <row r="14" ht="26" customHeight="1">
      <c r="B14" s="11" t="inlineStr">
        <is>
          <t>KPI</t>
        </is>
      </c>
      <c r="C14" s="11" t="inlineStr">
        <is>
          <t>GE</t>
        </is>
      </c>
      <c r="D14" s="11" t="inlineStr">
        <is>
          <t>Cadence</t>
        </is>
      </c>
      <c r="E14" s="11" t="inlineStr">
        <is>
          <t>Owner</t>
        </is>
      </c>
      <c r="F14" s="11" t="inlineStr">
        <is>
          <t>Current</t>
        </is>
      </c>
      <c r="G14" s="11" t="inlineStr">
        <is>
          <t>Target</t>
        </is>
      </c>
      <c r="H14" s="11" t="inlineStr">
        <is>
          <t>Trigger</t>
        </is>
      </c>
      <c r="I14" s="11" t="inlineStr">
        <is>
          <t>Good when</t>
        </is>
      </c>
      <c r="J14" s="11" t="inlineStr">
        <is>
          <t>Status</t>
        </is>
      </c>
    </row>
    <row r="15">
      <c r="B15" s="6" t="inlineStr">
        <is>
          <t>Sales banked, GE2</t>
        </is>
      </c>
      <c r="C15" s="37" t="inlineStr">
        <is>
          <t>GE2</t>
        </is>
      </c>
      <c r="D15" s="47" t="inlineStr">
        <is>
          <t>W</t>
        </is>
      </c>
      <c r="E15" s="13" t="inlineStr">
        <is>
          <t>Schools Coordinator</t>
        </is>
      </c>
      <c r="F15" s="24">
        <f>'07_GE2_School_Outreach'!$C$11</f>
        <v/>
      </c>
      <c r="G15" s="67">
        <f>'03_Sprint_Drivers'!$C$18</f>
        <v/>
      </c>
      <c r="H15" s="68">
        <f>ROUND('03_Sprint_Drivers'!$C$18*0.5,0)</f>
        <v/>
      </c>
      <c r="I15" s="47" t="inlineStr">
        <is>
          <t>higher</t>
        </is>
      </c>
      <c r="J15" s="43">
        <f>IF(NOT(ISNUMBER(H15)),"MANUAL",IF(F15&lt;H15,"REVIEW","OK"))</f>
        <v/>
      </c>
    </row>
    <row r="16">
      <c r="B16" s="6" t="inlineStr">
        <is>
          <t>Cost per sale, school engine</t>
        </is>
      </c>
      <c r="C16" s="37" t="inlineStr">
        <is>
          <t>GE2</t>
        </is>
      </c>
      <c r="D16" s="47" t="inlineStr">
        <is>
          <t>W</t>
        </is>
      </c>
      <c r="E16" s="13" t="inlineStr">
        <is>
          <t>Schools Coordinator</t>
        </is>
      </c>
      <c r="F16" s="36">
        <f>'07_GE2_School_Outreach'!$C$24</f>
        <v/>
      </c>
      <c r="G16" s="65">
        <f>'03_Sprint_Drivers'!$C$26</f>
        <v/>
      </c>
      <c r="H16" s="66">
        <f>'03_Sprint_Drivers'!$C$26*2</f>
        <v/>
      </c>
      <c r="I16" s="47" t="inlineStr">
        <is>
          <t>lower</t>
        </is>
      </c>
      <c r="J16" s="43">
        <f>IF(NOT(ISNUMBER(H16)),"MANUAL",IF(F16=0,"NO DATA",IF(F16&gt;H16,"REVIEW","OK")))</f>
        <v/>
      </c>
    </row>
    <row r="17">
      <c r="B17" s="6" t="inlineStr">
        <is>
          <t>Schools visited</t>
        </is>
      </c>
      <c r="C17" s="37" t="inlineStr">
        <is>
          <t>GE2</t>
        </is>
      </c>
      <c r="D17" s="47" t="inlineStr">
        <is>
          <t>W</t>
        </is>
      </c>
      <c r="E17" s="13" t="inlineStr">
        <is>
          <t>Schools Coordinator</t>
        </is>
      </c>
      <c r="F17" s="24">
        <f>'07_GE2_School_Outreach'!$C$7</f>
        <v/>
      </c>
      <c r="G17" s="67" t="n">
        <v>12</v>
      </c>
      <c r="H17" s="68" t="n">
        <v>8</v>
      </c>
      <c r="I17" s="47" t="inlineStr">
        <is>
          <t>higher</t>
        </is>
      </c>
      <c r="J17" s="43">
        <f>IF(NOT(ISNUMBER(H17)),"MANUAL",IF(F17&lt;H17,"REVIEW","OK"))</f>
        <v/>
      </c>
    </row>
    <row r="18">
      <c r="B18" s="6" t="inlineStr">
        <is>
          <t>Calls plus visits</t>
        </is>
      </c>
      <c r="C18" s="37" t="inlineStr">
        <is>
          <t>GE2</t>
        </is>
      </c>
      <c r="D18" s="47" t="inlineStr">
        <is>
          <t>W</t>
        </is>
      </c>
      <c r="E18" s="13" t="inlineStr">
        <is>
          <t>Schools Coordinator</t>
        </is>
      </c>
      <c r="F18" s="24">
        <f>'07_GE2_School_Outreach'!$C$9</f>
        <v/>
      </c>
      <c r="G18" s="67" t="n">
        <v>50</v>
      </c>
      <c r="H18" s="68" t="n">
        <v>30</v>
      </c>
      <c r="I18" s="47" t="inlineStr">
        <is>
          <t>higher</t>
        </is>
      </c>
      <c r="J18" s="43">
        <f>IF(NOT(ISNUMBER(H18)),"MANUAL",IF(F18&lt;H18,"REVIEW","OK"))</f>
        <v/>
      </c>
    </row>
    <row r="19">
      <c r="B19" s="6" t="inlineStr">
        <is>
          <t>Signups captured</t>
        </is>
      </c>
      <c r="C19" s="37" t="inlineStr">
        <is>
          <t>GE2</t>
        </is>
      </c>
      <c r="D19" s="47" t="inlineStr">
        <is>
          <t>W</t>
        </is>
      </c>
      <c r="E19" s="13" t="inlineStr">
        <is>
          <t>Schools Coordinator</t>
        </is>
      </c>
      <c r="F19" s="24">
        <f>'07_GE2_School_Outreach'!$C$10</f>
        <v/>
      </c>
      <c r="G19" s="67" t="inlineStr">
        <is>
          <t>Baseline</t>
        </is>
      </c>
      <c r="H19" s="68" t="inlineStr">
        <is>
          <t>Baseline</t>
        </is>
      </c>
      <c r="I19" s="47" t="inlineStr">
        <is>
          <t>higher</t>
        </is>
      </c>
      <c r="J19" s="43">
        <f>IF(NOT(ISNUMBER(H19)),"MANUAL",IF(F19&lt;H19,"REVIEW","OK"))</f>
        <v/>
      </c>
    </row>
    <row r="20">
      <c r="B20" s="6" t="inlineStr">
        <is>
          <t>Signups per visit</t>
        </is>
      </c>
      <c r="C20" s="37" t="inlineStr">
        <is>
          <t>GE2</t>
        </is>
      </c>
      <c r="D20" s="47" t="inlineStr">
        <is>
          <t>W</t>
        </is>
      </c>
      <c r="E20" s="13" t="inlineStr">
        <is>
          <t>Schools Coordinator</t>
        </is>
      </c>
      <c r="F20" s="29">
        <f>'07_GE2_School_Outreach'!$C$12</f>
        <v/>
      </c>
      <c r="G20" s="70" t="inlineStr">
        <is>
          <t>Baseline</t>
        </is>
      </c>
      <c r="H20" s="71" t="inlineStr">
        <is>
          <t>Baseline</t>
        </is>
      </c>
      <c r="I20" s="47" t="inlineStr">
        <is>
          <t>higher</t>
        </is>
      </c>
      <c r="J20" s="43">
        <f>IF(NOT(ISNUMBER(H20)),"MANUAL",IF(F20&lt;H20,"REVIEW","OK"))</f>
        <v/>
      </c>
    </row>
    <row r="22" ht="20" customHeight="1">
      <c r="B22" s="3" t="inlineStr">
        <is>
          <t>Sprint discipline. Owner: Campaign Lead</t>
        </is>
      </c>
      <c r="C22" s="4" t="n"/>
      <c r="D22" s="4" t="n"/>
      <c r="E22" s="4" t="n"/>
      <c r="F22" s="4" t="n"/>
      <c r="G22" s="4" t="n"/>
      <c r="H22" s="4" t="n"/>
      <c r="I22" s="4" t="n"/>
    </row>
    <row r="23" ht="26" customHeight="1">
      <c r="B23" s="11" t="inlineStr">
        <is>
          <t>KPI</t>
        </is>
      </c>
      <c r="C23" s="11" t="inlineStr">
        <is>
          <t>GE</t>
        </is>
      </c>
      <c r="D23" s="11" t="inlineStr">
        <is>
          <t>Cadence</t>
        </is>
      </c>
      <c r="E23" s="11" t="inlineStr">
        <is>
          <t>Owner</t>
        </is>
      </c>
      <c r="F23" s="11" t="inlineStr">
        <is>
          <t>Current</t>
        </is>
      </c>
      <c r="G23" s="11" t="inlineStr">
        <is>
          <t>Target</t>
        </is>
      </c>
      <c r="H23" s="11" t="inlineStr">
        <is>
          <t>Trigger</t>
        </is>
      </c>
      <c r="I23" s="11" t="inlineStr">
        <is>
          <t>Good when</t>
        </is>
      </c>
      <c r="J23" s="11" t="inlineStr">
        <is>
          <t>Status</t>
        </is>
      </c>
    </row>
    <row r="24">
      <c r="B24" s="6" t="inlineStr">
        <is>
          <t>Days logged in 05_Daily_Log</t>
        </is>
      </c>
      <c r="C24" s="37" t="inlineStr">
        <is>
          <t>ALL</t>
        </is>
      </c>
      <c r="D24" s="47" t="inlineStr">
        <is>
          <t>D</t>
        </is>
      </c>
      <c r="E24" s="13" t="inlineStr">
        <is>
          <t>Campaign Lead</t>
        </is>
      </c>
      <c r="F24" s="24">
        <f>COUNT('05_Daily_Log'!$D$8:$D$21)</f>
        <v/>
      </c>
      <c r="G24" s="67" t="n">
        <v>14</v>
      </c>
      <c r="H24" s="68" t="n">
        <v>12</v>
      </c>
      <c r="I24" s="47" t="inlineStr">
        <is>
          <t>higher</t>
        </is>
      </c>
      <c r="J24" s="43">
        <f>IF(NOT(ISNUMBER(H24)),"MANUAL",IF(F24&lt;H24,"REVIEW","OK"))</f>
        <v/>
      </c>
    </row>
    <row r="25">
      <c r="B25" s="6" t="inlineStr">
        <is>
          <t>Links in 09_UTM_Register that build a tagged URL</t>
        </is>
      </c>
      <c r="C25" s="37" t="inlineStr">
        <is>
          <t>ALL</t>
        </is>
      </c>
      <c r="D25" s="47" t="inlineStr">
        <is>
          <t>W</t>
        </is>
      </c>
      <c r="E25" s="13" t="inlineStr">
        <is>
          <t>Performance Marketer</t>
        </is>
      </c>
      <c r="F25" s="24">
        <f>COUNTIF('09_UTM_Register'!$H$7:$H$19,"?*")</f>
        <v/>
      </c>
      <c r="G25" s="67" t="n">
        <v>13</v>
      </c>
      <c r="H25" s="68" t="n">
        <v>13</v>
      </c>
      <c r="I25" s="47" t="inlineStr">
        <is>
          <t>higher</t>
        </is>
      </c>
      <c r="J25" s="43">
        <f>IF(NOT(ISNUMBER(H25)),"MANUAL",IF(F25&lt;H25,"REVIEW","OK"))</f>
        <v/>
      </c>
    </row>
    <row r="26">
      <c r="B26" s="6" t="inlineStr">
        <is>
          <t>Peach reconciled to ledger by 09:00</t>
        </is>
      </c>
      <c r="C26" s="37" t="inlineStr">
        <is>
          <t>ALL</t>
        </is>
      </c>
      <c r="D26" s="47" t="inlineStr">
        <is>
          <t>D</t>
        </is>
      </c>
      <c r="E26" s="13" t="inlineStr">
        <is>
          <t>Campaign Lead</t>
        </is>
      </c>
      <c r="F26" s="72" t="inlineStr">
        <is>
          <t>Pass</t>
        </is>
      </c>
      <c r="G26" s="73" t="inlineStr">
        <is>
          <t>Pass</t>
        </is>
      </c>
      <c r="H26" s="74" t="inlineStr">
        <is>
          <t>Any miss</t>
        </is>
      </c>
      <c r="I26" s="47" t="inlineStr">
        <is>
          <t>manual</t>
        </is>
      </c>
      <c r="J26" s="43" t="inlineStr">
        <is>
          <t>MANUAL</t>
        </is>
      </c>
    </row>
    <row r="27">
      <c r="B27" s="6" t="inlineStr">
        <is>
          <t>Visit logged the same day</t>
        </is>
      </c>
      <c r="C27" s="37" t="inlineStr">
        <is>
          <t>ALL</t>
        </is>
      </c>
      <c r="D27" s="47" t="inlineStr">
        <is>
          <t>D</t>
        </is>
      </c>
      <c r="E27" s="13" t="inlineStr">
        <is>
          <t>Schools Coordinator</t>
        </is>
      </c>
      <c r="F27" s="72" t="inlineStr">
        <is>
          <t>Pass</t>
        </is>
      </c>
      <c r="G27" s="73" t="inlineStr">
        <is>
          <t>Pass</t>
        </is>
      </c>
      <c r="H27" s="74" t="inlineStr">
        <is>
          <t>Any miss</t>
        </is>
      </c>
      <c r="I27" s="47" t="inlineStr">
        <is>
          <t>manual</t>
        </is>
      </c>
      <c r="J27" s="43" t="inlineStr">
        <is>
          <t>MANUAL</t>
        </is>
      </c>
    </row>
    <row r="28">
      <c r="B28" s="6" t="inlineStr">
        <is>
          <t>Working book updated Friday</t>
        </is>
      </c>
      <c r="C28" s="37" t="inlineStr">
        <is>
          <t>ALL</t>
        </is>
      </c>
      <c r="D28" s="47" t="inlineStr">
        <is>
          <t>W</t>
        </is>
      </c>
      <c r="E28" s="13" t="inlineStr">
        <is>
          <t>Campaign Lead</t>
        </is>
      </c>
      <c r="F28" s="72" t="inlineStr">
        <is>
          <t>Pass</t>
        </is>
      </c>
      <c r="G28" s="73" t="inlineStr">
        <is>
          <t>Pass</t>
        </is>
      </c>
      <c r="H28" s="74" t="inlineStr">
        <is>
          <t>Any miss</t>
        </is>
      </c>
      <c r="I28" s="47" t="inlineStr">
        <is>
          <t>manual</t>
        </is>
      </c>
      <c r="J28" s="43" t="inlineStr">
        <is>
          <t>MANUAL</t>
        </is>
      </c>
    </row>
    <row r="30">
      <c r="B30" s="2" t="inlineStr">
        <is>
          <t>Baseline means there is no honest number to set yet. These are read for four weeks and the target is set off real data.</t>
        </is>
      </c>
    </row>
    <row r="31">
      <c r="B31" s="2" t="inlineStr">
        <is>
          <t>MANUAL in the Status column means the row is judged by a person, not by a comparison. Cost per signup R85 target and R120 trigger, and the 4% signup to sale target, are from v4 sheet 10_KPIs_By_GE.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F33"/>
  <sheetViews>
    <sheetView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18" customWidth="1" min="3" max="3"/>
    <col width="18" customWidth="1" min="4" max="4"/>
    <col width="12" customWidth="1" min="5" max="5"/>
    <col width="58" customWidth="1" min="6" max="6"/>
  </cols>
  <sheetData>
    <row r="2" ht="27" customHeight="1">
      <c r="B2" s="1" t="inlineStr">
        <is>
          <t>DAY 14 GO OR NO GO</t>
        </is>
      </c>
    </row>
    <row r="3" ht="13" customHeight="1">
      <c r="B3" s="2" t="inlineStr">
        <is>
          <t>Completed on Sun 6 Sep 2026 by the Campaign Lead, decided by the MD. The thresholds below are set before the sprint starts and are not moved afterwards.</t>
        </is>
      </c>
    </row>
    <row r="5" ht="20" customHeight="1">
      <c r="B5" s="3" t="inlineStr">
        <is>
          <t>The seven tests</t>
        </is>
      </c>
      <c r="C5" s="4" t="n"/>
      <c r="D5" s="4" t="n"/>
      <c r="E5" s="4" t="n"/>
      <c r="F5" s="4" t="n"/>
    </row>
    <row r="6" ht="26" customHeight="1">
      <c r="B6" s="11" t="inlineStr">
        <is>
          <t>Test</t>
        </is>
      </c>
      <c r="C6" s="11" t="inlineStr">
        <is>
          <t>Result</t>
        </is>
      </c>
      <c r="D6" s="11" t="inlineStr">
        <is>
          <t>Threshold</t>
        </is>
      </c>
      <c r="E6" s="11" t="inlineStr">
        <is>
          <t>Verdict</t>
        </is>
      </c>
      <c r="F6" s="11" t="inlineStr">
        <is>
          <t>Note</t>
        </is>
      </c>
    </row>
    <row r="7">
      <c r="B7" s="6" t="inlineStr">
        <is>
          <t>1. Qualifying sales achieved</t>
        </is>
      </c>
      <c r="C7" s="24">
        <f>'05_Daily_Log'!$L$22</f>
        <v/>
      </c>
      <c r="D7" s="67">
        <f>'03_Sprint_Drivers'!$C$14</f>
        <v/>
      </c>
      <c r="E7" s="43">
        <f>IF(NOT(ISNUMBER(C7)),"NO DATA",IF(C7&gt;=D7,"PASS","FAIL"))</f>
        <v/>
      </c>
      <c r="F7" s="2" t="inlineStr">
        <is>
          <t>Total banked across both engines.</t>
        </is>
      </c>
    </row>
    <row r="8">
      <c r="B8" s="6" t="inlineStr">
        <is>
          <t>2. Blended cost per sale at or under target</t>
        </is>
      </c>
      <c r="C8" s="36">
        <f>IFERROR(('05_Daily_Log'!$D$22+'07_GE2_School_Outreach'!$C$23)/'05_Daily_Log'!$L$22,0)</f>
        <v/>
      </c>
      <c r="D8" s="65">
        <f>'03_Sprint_Drivers'!$C$26</f>
        <v/>
      </c>
      <c r="E8" s="43">
        <f>IF(NOT(ISNUMBER(C8)),"NO DATA",IF(C8=0,"NO DATA",IF(C8&lt;=D8,"PASS","FAIL")))</f>
        <v/>
      </c>
      <c r="F8" s="2" t="inlineStr">
        <is>
          <t>Paid media spend plus school engine cost, divided by all sales.</t>
        </is>
      </c>
    </row>
    <row r="9">
      <c r="B9" s="6" t="inlineStr">
        <is>
          <t>3. Paid engine at or under twice target</t>
        </is>
      </c>
      <c r="C9" s="36">
        <f>'06_GE1_Paid_Media'!$C$11</f>
        <v/>
      </c>
      <c r="D9" s="65">
        <f>'03_Sprint_Drivers'!$C$26*2</f>
        <v/>
      </c>
      <c r="E9" s="43">
        <f>IF(NOT(ISNUMBER(C9)),"NO DATA",IF(C9=0,"NO DATA",IF(C9&lt;=D9,"PASS","FAIL")))</f>
        <v/>
      </c>
      <c r="F9" s="2" t="inlineStr">
        <is>
          <t>A paid engine above this is not scalable at the current creative.</t>
        </is>
      </c>
    </row>
    <row r="10">
      <c r="B10" s="6" t="inlineStr">
        <is>
          <t>4. School engine at or under twice target</t>
        </is>
      </c>
      <c r="C10" s="36">
        <f>'07_GE2_School_Outreach'!$C$24</f>
        <v/>
      </c>
      <c r="D10" s="65">
        <f>'03_Sprint_Drivers'!$C$26*2</f>
        <v/>
      </c>
      <c r="E10" s="43">
        <f>IF(NOT(ISNUMBER(C10)),"NO DATA",IF(C10=0,"NO DATA",IF(C10&lt;=D10,"PASS","FAIL")))</f>
        <v/>
      </c>
      <c r="F10" s="2" t="inlineStr">
        <is>
          <t>Same test, applied to visits.</t>
        </is>
      </c>
    </row>
    <row r="11">
      <c r="B11" s="6" t="inlineStr">
        <is>
          <t>5. At least one engine at or under target</t>
        </is>
      </c>
      <c r="C11" s="24">
        <f>IF(OR(AND(ISNUMBER('06_GE1_Paid_Media'!$C$11),'06_GE1_Paid_Media'!$C$11&lt;='03_Sprint_Drivers'!$C$26,'06_GE1_Paid_Media'!$C$11&gt;0),AND(ISNUMBER('07_GE2_School_Outreach'!$C$24),'07_GE2_School_Outreach'!$C$24&lt;='03_Sprint_Drivers'!$C$26,'07_GE2_School_Outreach'!$C$24&gt;0)),1,0)</f>
        <v/>
      </c>
      <c r="D11" s="67" t="n">
        <v>1</v>
      </c>
      <c r="E11" s="43">
        <f>IF(NOT(ISNUMBER(C11)),"NO DATA",IF(C11&gt;=D11,"PASS","FAIL"))</f>
        <v/>
      </c>
      <c r="F11" s="2" t="inlineStr">
        <is>
          <t>One working engine is enough to justify releasing budget into it.</t>
        </is>
      </c>
    </row>
    <row r="12">
      <c r="B12" s="6" t="inlineStr">
        <is>
          <t>6. Paid spend stayed inside the cap</t>
        </is>
      </c>
      <c r="C12" s="36">
        <f>'05_Daily_Log'!$D$22</f>
        <v/>
      </c>
      <c r="D12" s="65">
        <f>'03_Sprint_Drivers'!$C$13</f>
        <v/>
      </c>
      <c r="E12" s="43">
        <f>IF(NOT(ISNUMBER(C12)),"NO DATA",IF(C12=0,"NO DATA",IF(C12&lt;=D12,"PASS","FAIL")))</f>
        <v/>
      </c>
      <c r="F12" s="2" t="inlineStr">
        <is>
          <t>A breach needs MD sign off recorded below.</t>
        </is>
      </c>
    </row>
    <row r="13">
      <c r="B13" s="6" t="inlineStr">
        <is>
          <t>7. Days logged</t>
        </is>
      </c>
      <c r="C13" s="24">
        <f>COUNT('05_Daily_Log'!$D$8:$D$21)</f>
        <v/>
      </c>
      <c r="D13" s="67" t="n">
        <v>14</v>
      </c>
      <c r="E13" s="43">
        <f>IF(NOT(ISNUMBER(C13)),"NO DATA",IF(C13&gt;=D13,"PASS","FAIL"))</f>
        <v/>
      </c>
      <c r="F13" s="2" t="inlineStr">
        <is>
          <t>A sprint that was not logged did not measure anything, whatever the sales say.</t>
        </is>
      </c>
    </row>
    <row r="15">
      <c r="B15" s="5" t="inlineStr">
        <is>
          <t>Tests passed</t>
        </is>
      </c>
      <c r="C15" s="24">
        <f>COUNTIF(E7:E13,"PASS")</f>
        <v/>
      </c>
      <c r="D15" s="73" t="n">
        <v>7</v>
      </c>
      <c r="F15" s="2" t="inlineStr">
        <is>
          <t>NO DATA means the test had nothing to judge. Before the sprint runs, most tests read NO DATA. That is correct.</t>
        </is>
      </c>
    </row>
    <row r="16">
      <c r="B16" s="5" t="inlineStr">
        <is>
          <t>Tests still reading NO DATA</t>
        </is>
      </c>
      <c r="C16" s="24">
        <f>COUNTIF(E7:E13,"NO DATA")</f>
        <v/>
      </c>
      <c r="F16" s="2" t="inlineStr">
        <is>
          <t>Must be zero on day 14. A test with no data is a measurement failure, not a neutral result.</t>
        </is>
      </c>
    </row>
    <row r="18" ht="20" customHeight="1">
      <c r="B18" s="3" t="inlineStr">
        <is>
          <t>What the result costs to scale</t>
        </is>
      </c>
      <c r="C18" s="4" t="n"/>
      <c r="D18" s="4" t="n"/>
      <c r="E18" s="4" t="n"/>
      <c r="F18" s="4" t="n"/>
    </row>
    <row r="19" ht="26" customHeight="1">
      <c r="B19" s="11" t="inlineStr">
        <is>
          <t>Measure</t>
        </is>
      </c>
      <c r="C19" s="11" t="inlineStr">
        <is>
          <t>Value</t>
        </is>
      </c>
      <c r="D19" s="11" t="inlineStr"/>
      <c r="E19" s="11" t="inlineStr"/>
      <c r="F19" s="11" t="inlineStr">
        <is>
          <t>Note</t>
        </is>
      </c>
    </row>
    <row r="20">
      <c r="B20" s="6" t="inlineStr">
        <is>
          <t>Sales still needed after this sprint</t>
        </is>
      </c>
      <c r="C20" s="24">
        <f>('03_Sprint_Drivers'!$C$39-'05_Daily_Log'!$L$22)</f>
        <v/>
      </c>
      <c r="F20" s="2" t="inlineStr">
        <is>
          <t>Against the 40 000 target.</t>
        </is>
      </c>
    </row>
    <row r="21">
      <c r="B21" s="6" t="inlineStr">
        <is>
          <t>Cost to buy them at the blended rate achieved</t>
        </is>
      </c>
      <c r="C21" s="36">
        <f>('03_Sprint_Drivers'!$C$39-'05_Daily_Log'!$L$22)*IFERROR(('05_Daily_Log'!$D$22+'07_GE2_School_Outreach'!$C$23)/'05_Daily_Log'!$L$22,0)</f>
        <v/>
      </c>
      <c r="F21" s="2" t="inlineStr">
        <is>
          <t>This is the number the MD is actually deciding on.</t>
        </is>
      </c>
    </row>
    <row r="22">
      <c r="B22" s="6" t="inlineStr">
        <is>
          <t>Cost to buy them at the target rate</t>
        </is>
      </c>
      <c r="C22" s="36">
        <f>('03_Sprint_Drivers'!$C$39-'05_Daily_Log'!$L$22)*'03_Sprint_Drivers'!$C$26</f>
        <v/>
      </c>
      <c r="F22" s="2" t="inlineStr">
        <is>
          <t>What the plan assumed.</t>
        </is>
      </c>
    </row>
    <row r="23">
      <c r="B23" s="6" t="inlineStr">
        <is>
          <t>Difference</t>
        </is>
      </c>
      <c r="C23" s="36">
        <f>('03_Sprint_Drivers'!$C$39-'05_Daily_Log'!$L$22)*IFERROR(('05_Daily_Log'!$D$22+'07_GE2_School_Outreach'!$C$23)/'05_Daily_Log'!$L$22,0)-('03_Sprint_Drivers'!$C$39-'05_Daily_Log'!$L$22)*'03_Sprint_Drivers'!$C$26</f>
        <v/>
      </c>
      <c r="F23" s="2" t="inlineStr">
        <is>
          <t>Positive means the campaign costs more than planned.</t>
        </is>
      </c>
    </row>
    <row r="24">
      <c r="B24" s="6" t="inlineStr">
        <is>
          <t>Weeks left after this sprint</t>
        </is>
      </c>
      <c r="C24" s="24">
        <f>'03_Sprint_Drivers'!$C$40-2</f>
        <v/>
      </c>
      <c r="F24" s="2" t="inlineStr">
        <is>
          <t>From 7 Sep to 30 Nov 2026.</t>
        </is>
      </c>
    </row>
    <row r="25">
      <c r="B25" s="6" t="inlineStr">
        <is>
          <t>Sales per week required from here</t>
        </is>
      </c>
      <c r="C25" s="24">
        <f>IFERROR(ROUND(('03_Sprint_Drivers'!$C$39-'05_Daily_Log'!$L$22)/('03_Sprint_Drivers'!$C$40-2),0),0)</f>
        <v/>
      </c>
      <c r="F25" s="2" t="inlineStr">
        <is>
          <t>Compare against what the sprint actually produced in two weeks.</t>
        </is>
      </c>
    </row>
    <row r="27" ht="20" customHeight="1">
      <c r="B27" s="3" t="inlineStr">
        <is>
          <t>The decision</t>
        </is>
      </c>
      <c r="C27" s="4" t="n"/>
      <c r="D27" s="4" t="n"/>
      <c r="E27" s="4" t="n"/>
      <c r="F27" s="4" t="n"/>
    </row>
    <row r="28" ht="18" customHeight="1">
      <c r="B28" s="5" t="inlineStr">
        <is>
          <t>Decision</t>
        </is>
      </c>
      <c r="C28" s="12" t="n"/>
      <c r="F28" s="2" t="inlineStr">
        <is>
          <t>RELEASE FULL BUDGET / RELEASE INTO ONE ENGINE ONLY / HOLD AND RE-TEST / RE-CUT THE TARGET</t>
        </is>
      </c>
    </row>
    <row r="29" ht="18" customHeight="1">
      <c r="B29" s="5" t="inlineStr">
        <is>
          <t>Reason</t>
        </is>
      </c>
      <c r="C29" s="12" t="n"/>
      <c r="F29" s="2" t="inlineStr">
        <is>
          <t>One or two sentences. What the evidence showed.</t>
        </is>
      </c>
    </row>
    <row r="30" ht="18" customHeight="1">
      <c r="B30" s="5" t="inlineStr">
        <is>
          <t>Budget released (R)</t>
        </is>
      </c>
      <c r="C30" s="12" t="n"/>
      <c r="F30" s="2" t="inlineStr">
        <is>
          <t>Only if the decision is a release.</t>
        </is>
      </c>
    </row>
    <row r="31" ht="18" customHeight="1">
      <c r="B31" s="5" t="inlineStr">
        <is>
          <t>Decided by</t>
        </is>
      </c>
      <c r="C31" s="12" t="n"/>
      <c r="F31" s="2" t="inlineStr"/>
    </row>
    <row r="32" ht="18" customHeight="1">
      <c r="B32" s="5" t="inlineStr">
        <is>
          <t>Date</t>
        </is>
      </c>
      <c r="C32" s="12" t="n"/>
      <c r="F32" s="2" t="inlineStr"/>
    </row>
    <row r="33" ht="18" customHeight="1">
      <c r="B33" s="5" t="inlineStr">
        <is>
          <t>Cap breach approved by</t>
        </is>
      </c>
      <c r="C33" s="12" t="n"/>
      <c r="F33" s="2" t="inlineStr">
        <is>
          <t>Leave blank if test 6 passed.</t>
        </is>
      </c>
    </row>
  </sheetData>
  <mergeCells count="6">
    <mergeCell ref="C33:E33"/>
    <mergeCell ref="C28:E28"/>
    <mergeCell ref="C31:E31"/>
    <mergeCell ref="C29:E29"/>
    <mergeCell ref="C30:E30"/>
    <mergeCell ref="C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2026-08-25T09:48:34Z</dcterms:created>
  <dcterms:modified xsi:type="dcterms:W3CDTF">2026-08-25T09:48:35Z</dcterms:modified>
</cp:coreProperties>
</file>
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Owners" sheetId="2" state="visible" r:id="rId2"/>
    <sheet name="02_Baselines" sheetId="3" state="visible" r:id="rId3"/>
    <sheet name="03_Sprint_Drivers" sheetId="4" state="visible" r:id="rId4"/>
    <sheet name="04_Sprint_Plan" sheetId="5" state="visible" r:id="rId5"/>
    <sheet name="05_Daily_Log" sheetId="6" state="visible" r:id="rId6"/>
    <sheet name="06_GE1_Paid_Media" sheetId="7" state="visible" r:id="rId7"/>
    <sheet name="07_GE2_School_Outreach" sheetId="8" state="visible" r:id="rId8"/>
    <sheet name="08_School_Visits" sheetId="9" state="visible" r:id="rId9"/>
    <sheet name="09_UTM_Register" sheetId="10" state="visible" r:id="rId10"/>
    <sheet name="10_KPIs" sheetId="11" state="visible" r:id="rId11"/>
    <sheet name="11_Go_No_Go" sheetId="12" state="visible" r:id="rId12"/>
  </sheets>
  <definedNames/>
  <calcPr calcId="124519" fullCalcOnLoad="1"/>
</workbook>
</file>

<file path=xl/styles.xml><?xml version="1.0" encoding="utf-8"?>
<styleSheet xmlns="http://schemas.openxmlformats.org/spreadsheetml/2006/main">
  <numFmts count="7">
    <numFmt numFmtId="164" formatCode="&quot;R&quot;#,##0.00;(&quot;R&quot;#,##0.00);\-"/>
    <numFmt numFmtId="165" formatCode="#,##0;(#,##0);\-"/>
    <numFmt numFmtId="166" formatCode="0.0%"/>
    <numFmt numFmtId="167" formatCode="0.0"/>
    <numFmt numFmtId="168" formatCode="ddd dd mmm"/>
    <numFmt numFmtId="169" formatCode="&quot;R&quot;#,##0;(&quot;R&quot;#,##0);\-"/>
    <numFmt numFmtId="170" formatCode="+#,##0;-#,##0;0"/>
  </numFmts>
  <fonts count="15">
    <font>
      <name val="Calibri"/>
      <family val="2"/>
      <color theme="1"/>
      <sz val="11"/>
      <scheme val="minor"/>
    </font>
    <font>
      <name val="Arial"/>
      <b val="1"/>
      <color rgb="FF0F2A4A"/>
      <sz val="20"/>
    </font>
    <font>
      <name val="Arial"/>
      <i val="1"/>
      <color rgb="FF475569"/>
      <sz val="9"/>
    </font>
    <font>
      <name val="Arial"/>
      <b val="1"/>
      <color rgb="FFFFFFFF"/>
      <sz val="11"/>
    </font>
    <font>
      <name val="Arial"/>
      <b val="1"/>
      <color rgb="FF0B1220"/>
      <sz val="10"/>
    </font>
    <font>
      <name val="Arial"/>
      <color rgb="FF0B1220"/>
      <sz val="10"/>
    </font>
    <font>
      <name val="Arial"/>
      <b val="1"/>
      <color rgb="FF4A90D9"/>
      <sz val="10"/>
    </font>
    <font>
      <name val="Arial"/>
      <b val="1"/>
      <color rgb="FF0000FF"/>
      <sz val="10"/>
    </font>
    <font>
      <name val="Arial"/>
      <b val="1"/>
      <color rgb="FFFFFFFF"/>
      <sz val="10"/>
    </font>
    <font>
      <name val="Arial"/>
      <color rgb="FF475569"/>
      <sz val="10"/>
    </font>
    <font>
      <name val="Arial"/>
      <b val="1"/>
      <color rgb="FF15803D"/>
      <sz val="10"/>
    </font>
    <font>
      <name val="Arial"/>
      <b val="1"/>
      <color rgb="FFF97316"/>
      <sz val="10"/>
    </font>
    <font>
      <name val="Arial"/>
      <b val="1"/>
      <color rgb="FF0F2A4A"/>
      <sz val="10"/>
    </font>
    <font>
      <name val="Arial"/>
      <b val="1"/>
      <color rgb="FFFBBF24"/>
      <sz val="10"/>
    </font>
    <font>
      <name val="Arial"/>
      <color rgb="FF0B1220"/>
      <sz val="9"/>
    </font>
  </fonts>
  <fills count="9">
    <fill>
      <patternFill/>
    </fill>
    <fill>
      <patternFill patternType="gray125"/>
    </fill>
    <fill>
      <patternFill patternType="solid">
        <fgColor rgb="FF0F2A4A"/>
      </patternFill>
    </fill>
    <fill>
      <patternFill patternType="solid">
        <fgColor rgb="FFFFFF00"/>
      </patternFill>
    </fill>
    <fill>
      <patternFill patternType="solid">
        <fgColor rgb="FFFEE9D6"/>
      </patternFill>
    </fill>
    <fill>
      <patternFill patternType="solid">
        <fgColor rgb="FF1E3A5F"/>
      </patternFill>
    </fill>
    <fill>
      <patternFill patternType="solid">
        <fgColor rgb="FFEEF2F7"/>
      </patternFill>
    </fill>
    <fill>
      <patternFill patternType="solid">
        <fgColor rgb="FFFEF7E7"/>
      </patternFill>
    </fill>
    <fill>
      <patternFill patternType="solid">
        <fgColor rgb="FFE6F0FB"/>
      </patternFill>
    </fill>
  </fills>
  <borders count="1">
    <border>
      <left/>
      <right/>
      <top/>
      <bottom/>
      <diagonal/>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0" fontId="0" fillId="2" borderId="0" pivotButton="0" quotePrefix="0" xfId="0"/>
    <xf numFmtId="0" fontId="4" fillId="0" borderId="0" pivotButton="0" quotePrefix="0" xfId="0"/>
    <xf numFmtId="0" fontId="5" fillId="0" borderId="0" pivotButton="0" quotePrefix="0" xfId="0"/>
    <xf numFmtId="0" fontId="6" fillId="0" borderId="0" pivotButton="0" quotePrefix="0" xfId="0"/>
    <xf numFmtId="0" fontId="4" fillId="3" borderId="0" pivotButton="0" quotePrefix="0" xfId="0"/>
    <xf numFmtId="0" fontId="7" fillId="0" borderId="0" pivotButton="0" quotePrefix="0" xfId="0"/>
    <xf numFmtId="0" fontId="4" fillId="4" borderId="0" pivotButton="0" quotePrefix="0" xfId="0"/>
    <xf numFmtId="0" fontId="8" fillId="5" borderId="0" applyAlignment="1" pivotButton="0" quotePrefix="0" xfId="0">
      <alignment vertical="center" wrapText="1"/>
    </xf>
    <xf numFmtId="0" fontId="7" fillId="3" borderId="0" pivotButton="0" quotePrefix="0" xfId="0"/>
    <xf numFmtId="0" fontId="9" fillId="0" borderId="0" pivotButton="0" quotePrefix="0" xfId="0"/>
    <xf numFmtId="164" fontId="7" fillId="0" borderId="0" applyAlignment="1" pivotButton="0" quotePrefix="0" xfId="0">
      <alignment horizontal="right" vertical="center"/>
    </xf>
    <xf numFmtId="165" fontId="7" fillId="0" borderId="0" applyAlignment="1" pivotButton="0" quotePrefix="0" xfId="0">
      <alignment horizontal="right" vertical="center"/>
    </xf>
    <xf numFmtId="166" fontId="7" fillId="0" borderId="0" applyAlignment="1" pivotButton="0" quotePrefix="0" xfId="0">
      <alignment horizontal="right" vertical="center"/>
    </xf>
    <xf numFmtId="164" fontId="4" fillId="6" borderId="0" applyAlignment="1" pivotButton="0" quotePrefix="0" xfId="0">
      <alignment horizontal="right" vertical="center"/>
    </xf>
    <xf numFmtId="0" fontId="7" fillId="0" borderId="0" applyAlignment="1" pivotButton="0" quotePrefix="0" xfId="0">
      <alignment horizontal="right" vertical="center"/>
    </xf>
    <xf numFmtId="167" fontId="7" fillId="0" borderId="0" applyAlignment="1" pivotButton="0" quotePrefix="0" xfId="0">
      <alignment horizontal="right" vertical="center"/>
    </xf>
    <xf numFmtId="0" fontId="10" fillId="0" borderId="0" pivotButton="0" quotePrefix="0" xfId="0"/>
    <xf numFmtId="0" fontId="5" fillId="0" borderId="0" applyAlignment="1" pivotButton="0" quotePrefix="0" xfId="0">
      <alignment vertical="top" wrapText="1"/>
    </xf>
    <xf numFmtId="0" fontId="11" fillId="0" borderId="0" pivotButton="0" quotePrefix="0" xfId="0"/>
    <xf numFmtId="168" fontId="7" fillId="3" borderId="0" applyAlignment="1" pivotButton="0" quotePrefix="0" xfId="0">
      <alignment horizontal="right" vertical="center"/>
    </xf>
    <xf numFmtId="165" fontId="4" fillId="6" borderId="0" applyAlignment="1" pivotButton="0" quotePrefix="0" xfId="0">
      <alignment horizontal="right" vertical="center"/>
    </xf>
    <xf numFmtId="169" fontId="7" fillId="3" borderId="0" applyAlignment="1" pivotButton="0" quotePrefix="0" xfId="0">
      <alignment horizontal="right" vertical="center"/>
    </xf>
    <xf numFmtId="165" fontId="7" fillId="3" borderId="0" applyAlignment="1" pivotButton="0" quotePrefix="0" xfId="0">
      <alignment horizontal="right" vertical="center"/>
    </xf>
    <xf numFmtId="166" fontId="7" fillId="3" borderId="0" applyAlignment="1" pivotButton="0" quotePrefix="0" xfId="0">
      <alignment horizontal="right" vertical="center"/>
    </xf>
    <xf numFmtId="166" fontId="4" fillId="6" borderId="0" applyAlignment="1" pivotButton="0" quotePrefix="0" xfId="0">
      <alignment horizontal="right" vertical="center"/>
    </xf>
    <xf numFmtId="167" fontId="4" fillId="6" borderId="0" applyAlignment="1" pivotButton="0" quotePrefix="0" xfId="0">
      <alignment horizontal="right" vertical="center"/>
    </xf>
    <xf numFmtId="169" fontId="4" fillId="6" borderId="0" applyAlignment="1" pivotButton="0" quotePrefix="0" xfId="0">
      <alignment horizontal="right" vertical="center"/>
    </xf>
    <xf numFmtId="166" fontId="12" fillId="0" borderId="0" applyAlignment="1" pivotButton="0" quotePrefix="0" xfId="0">
      <alignment horizontal="right" vertical="center"/>
    </xf>
    <xf numFmtId="0" fontId="5" fillId="4" borderId="0" pivotButton="0" quotePrefix="0" xfId="0"/>
    <xf numFmtId="0" fontId="9" fillId="4" borderId="0" applyAlignment="1" pivotButton="0" quotePrefix="0" xfId="0">
      <alignment vertical="top" wrapText="1"/>
    </xf>
    <xf numFmtId="168" fontId="7" fillId="3" borderId="0" applyAlignment="1" pivotButton="0" quotePrefix="0" xfId="0">
      <alignment horizontal="right" vertical="center"/>
    </xf>
    <xf numFmtId="169" fontId="7" fillId="3" borderId="0" applyAlignment="1" pivotButton="0" quotePrefix="0" xfId="0">
      <alignment horizontal="right" vertical="center"/>
    </xf>
    <xf numFmtId="169" fontId="4" fillId="6" borderId="0" applyAlignment="1" pivotButton="0" quotePrefix="0" xfId="0">
      <alignment horizontal="right" vertical="center"/>
    </xf>
    <xf numFmtId="0" fontId="4" fillId="0" borderId="0" applyAlignment="1" pivotButton="0" quotePrefix="0" xfId="0">
      <alignment horizontal="center" vertical="center"/>
    </xf>
    <xf numFmtId="168" fontId="4" fillId="0" borderId="0" pivotButton="0" quotePrefix="0" xfId="0"/>
    <xf numFmtId="0" fontId="4" fillId="7" borderId="0" applyAlignment="1" pivotButton="0" quotePrefix="0" xfId="0">
      <alignment horizontal="center" vertical="center"/>
    </xf>
    <xf numFmtId="0" fontId="7" fillId="3" borderId="0" applyAlignment="1" pivotButton="0" quotePrefix="0" xfId="0">
      <alignment horizontal="center" vertical="center"/>
    </xf>
    <xf numFmtId="0" fontId="4" fillId="8" borderId="0" applyAlignment="1" pivotButton="0" quotePrefix="0" xfId="0">
      <alignment horizontal="center" vertical="center"/>
    </xf>
    <xf numFmtId="0" fontId="4" fillId="4" borderId="0" applyAlignment="1" pivotButton="0" quotePrefix="0" xfId="0">
      <alignment horizontal="center" vertical="center"/>
    </xf>
    <xf numFmtId="0" fontId="4" fillId="6" borderId="0" applyAlignment="1" pivotButton="0" quotePrefix="0" xfId="0">
      <alignment horizontal="center" vertical="center"/>
    </xf>
    <xf numFmtId="0" fontId="12" fillId="8" borderId="0" applyAlignment="1" pivotButton="0" quotePrefix="0" xfId="0">
      <alignment horizontal="center" vertical="center"/>
    </xf>
    <xf numFmtId="0" fontId="12" fillId="4" borderId="0" applyAlignment="1" pivotButton="0" quotePrefix="0" xfId="0">
      <alignment horizontal="center" vertical="center"/>
    </xf>
    <xf numFmtId="0" fontId="12" fillId="6" borderId="0" applyAlignment="1" pivotButton="0" quotePrefix="0" xfId="0">
      <alignment horizontal="center" vertical="center"/>
    </xf>
    <xf numFmtId="0" fontId="9" fillId="0" borderId="0" applyAlignment="1" pivotButton="0" quotePrefix="0" xfId="0">
      <alignment horizontal="center" vertical="center"/>
    </xf>
    <xf numFmtId="165" fontId="4" fillId="6" borderId="0" pivotButton="0" quotePrefix="0" xfId="0"/>
    <xf numFmtId="165" fontId="9" fillId="6" borderId="0" pivotButton="0" quotePrefix="0" xfId="0"/>
    <xf numFmtId="170" fontId="4" fillId="6" borderId="0" pivotButton="0" quotePrefix="0" xfId="0"/>
    <xf numFmtId="0" fontId="3" fillId="2" borderId="0" pivotButton="0" quotePrefix="0" xfId="0"/>
    <xf numFmtId="169" fontId="8" fillId="2" borderId="0" applyAlignment="1" pivotButton="0" quotePrefix="0" xfId="0">
      <alignment horizontal="right" vertical="center"/>
    </xf>
    <xf numFmtId="165" fontId="8" fillId="2" borderId="0" applyAlignment="1" pivotButton="0" quotePrefix="0" xfId="0">
      <alignment horizontal="right" vertical="center"/>
    </xf>
    <xf numFmtId="170" fontId="13" fillId="2" borderId="0" applyAlignment="1" pivotButton="0" quotePrefix="0" xfId="0">
      <alignment horizontal="right" vertical="center"/>
    </xf>
    <xf numFmtId="0" fontId="2" fillId="7" borderId="0" applyAlignment="1" pivotButton="0" quotePrefix="0" xfId="0">
      <alignment vertical="top"/>
    </xf>
    <xf numFmtId="0" fontId="2" fillId="7" borderId="0" applyAlignment="1" pivotButton="0" quotePrefix="0" xfId="0">
      <alignment horizontal="right" vertical="center"/>
    </xf>
    <xf numFmtId="170" fontId="4" fillId="6" borderId="0" pivotButton="0" quotePrefix="0" xfId="0"/>
    <xf numFmtId="170" fontId="13" fillId="2" borderId="0" applyAlignment="1" pivotButton="0" quotePrefix="0" xfId="0">
      <alignment horizontal="right" vertical="center"/>
    </xf>
    <xf numFmtId="169" fontId="9" fillId="0" borderId="0" applyAlignment="1" pivotButton="0" quotePrefix="0" xfId="0">
      <alignment horizontal="right" vertical="center"/>
    </xf>
    <xf numFmtId="165" fontId="9" fillId="0" borderId="0" applyAlignment="1" pivotButton="0" quotePrefix="0" xfId="0">
      <alignment horizontal="right" vertical="center"/>
    </xf>
    <xf numFmtId="166" fontId="9" fillId="0" borderId="0" applyAlignment="1" pivotButton="0" quotePrefix="0" xfId="0">
      <alignment horizontal="right" vertical="center"/>
    </xf>
    <xf numFmtId="2" fontId="4" fillId="6" borderId="0" applyAlignment="1" pivotButton="0" quotePrefix="0" xfId="0">
      <alignment horizontal="right" vertical="center"/>
    </xf>
    <xf numFmtId="0" fontId="14" fillId="6" borderId="0" pivotButton="0" quotePrefix="0" xfId="0"/>
    <xf numFmtId="168" fontId="7" fillId="3" borderId="0" pivotButton="0" quotePrefix="0" xfId="0"/>
    <xf numFmtId="169" fontId="12" fillId="0" borderId="0" applyAlignment="1" pivotButton="0" quotePrefix="0" xfId="0">
      <alignment horizontal="right" vertical="center"/>
    </xf>
    <xf numFmtId="169" fontId="11" fillId="0" borderId="0" applyAlignment="1" pivotButton="0" quotePrefix="0" xfId="0">
      <alignment horizontal="right" vertical="center"/>
    </xf>
    <xf numFmtId="165" fontId="12" fillId="0" borderId="0" applyAlignment="1" pivotButton="0" quotePrefix="0" xfId="0">
      <alignment horizontal="right" vertical="center"/>
    </xf>
    <xf numFmtId="165" fontId="11" fillId="0" borderId="0" applyAlignment="1" pivotButton="0" quotePrefix="0" xfId="0">
      <alignment horizontal="right" vertical="center"/>
    </xf>
    <xf numFmtId="166" fontId="11" fillId="0" borderId="0" applyAlignment="1" pivotButton="0" quotePrefix="0" xfId="0">
      <alignment horizontal="right" vertical="center"/>
    </xf>
    <xf numFmtId="167" fontId="12" fillId="0" borderId="0" applyAlignment="1" pivotButton="0" quotePrefix="0" xfId="0">
      <alignment horizontal="right" vertical="center"/>
    </xf>
    <xf numFmtId="167" fontId="11" fillId="0" borderId="0" applyAlignment="1" pivotButton="0" quotePrefix="0" xfId="0">
      <alignment horizontal="right" vertical="center"/>
    </xf>
    <xf numFmtId="0" fontId="4" fillId="6" borderId="0" applyAlignment="1" pivotButton="0" quotePrefix="0" xfId="0">
      <alignment horizontal="right" vertical="center"/>
    </xf>
    <xf numFmtId="0" fontId="12" fillId="0" borderId="0" applyAlignment="1" pivotButton="0" quotePrefix="0" xfId="0">
      <alignment horizontal="right" vertical="center"/>
    </xf>
    <xf numFmtId="0" fontId="11"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3"/>
  <sheetViews>
    <sheetView workbookViewId="0">
      <selection activeCell="A1" sqref="A1"/>
    </sheetView>
  </sheetViews>
  <sheetFormatPr baseColWidth="8" defaultRowHeight="15"/>
  <cols>
    <col width="3" customWidth="1" min="1" max="1"/>
    <col width="24" customWidth="1" min="2" max="2"/>
    <col width="92" customWidth="1" min="3" max="3"/>
  </cols>
  <sheetData>
    <row r="2" ht="27" customHeight="1">
      <c r="B2" s="1" t="inlineStr">
        <is>
          <t>BRIDGEAPP: QUALIFYING SPRINT</t>
        </is>
      </c>
    </row>
    <row r="3" ht="13" customHeight="1">
      <c r="B3" s="2" t="inlineStr">
        <is>
          <t>14 days, Mon 24 Aug to Sun 6 Sep 2026. Purpose: establish the real cost per sale on both growth engines before committing the full budget.</t>
        </is>
      </c>
    </row>
    <row r="5" ht="20" customHeight="1">
      <c r="B5" s="3" t="inlineStr">
        <is>
          <t>How this workbook is used</t>
        </is>
      </c>
      <c r="C5" s="4" t="n"/>
    </row>
    <row r="6">
      <c r="B6" s="5" t="inlineStr">
        <is>
          <t>Every morning</t>
        </is>
      </c>
      <c r="C6" s="6" t="inlineStr">
        <is>
          <t>The named owner fills yesterday's row in 05_Daily_Log. Yellow cells are the only cells anyone types into.</t>
        </is>
      </c>
    </row>
    <row r="7">
      <c r="B7" s="5" t="inlineStr">
        <is>
          <t>Every Monday</t>
        </is>
      </c>
      <c r="C7" s="6" t="inlineStr">
        <is>
          <t>10_KPIs is read at stand-up. Any KPI on its trigger is discussed before anything else.</t>
        </is>
      </c>
    </row>
    <row r="8">
      <c r="B8" s="5" t="inlineStr">
        <is>
          <t>Day 14 (6 Sep)</t>
        </is>
      </c>
      <c r="C8" s="6" t="inlineStr">
        <is>
          <t>11_Go_No_Go is completed. That sheet decides whether the full budget is released, held, or re-cut.</t>
        </is>
      </c>
    </row>
    <row r="9">
      <c r="B9" s="5" t="inlineStr">
        <is>
          <t>Never</t>
        </is>
      </c>
      <c r="C9" s="6" t="inlineStr">
        <is>
          <t>Do not type over a black cell. Black cells are formulas and will stop calculating.</t>
        </is>
      </c>
    </row>
    <row r="11" ht="20" customHeight="1">
      <c r="B11" s="3" t="inlineStr">
        <is>
          <t>Sheet guide</t>
        </is>
      </c>
      <c r="C11" s="4" t="n"/>
    </row>
    <row r="12">
      <c r="B12" s="7" t="inlineStr">
        <is>
          <t>00_README</t>
        </is>
      </c>
      <c r="C12" s="6" t="inlineStr">
        <is>
          <t>This sheet.</t>
        </is>
      </c>
    </row>
    <row r="13">
      <c r="B13" s="7" t="inlineStr">
        <is>
          <t>01_Owners</t>
        </is>
      </c>
      <c r="C13" s="6" t="inlineStr">
        <is>
          <t>Named owner per sheet and per decision. Fill the Named Person column before day 1.</t>
        </is>
      </c>
    </row>
    <row r="14">
      <c r="B14" s="7" t="inlineStr">
        <is>
          <t>02_Baselines</t>
        </is>
      </c>
      <c r="C14" s="6" t="inlineStr">
        <is>
          <t>Real reported figures from Meta, Instagram, Facebook and TikTok. The only hard numbers the campaign holds.</t>
        </is>
      </c>
    </row>
    <row r="15">
      <c r="B15" s="7" t="inlineStr">
        <is>
          <t>03_Sprint_Drivers</t>
        </is>
      </c>
      <c r="C15" s="6" t="inlineStr">
        <is>
          <t>Every assumption in one place. Change a yellow cell here and the whole workbook recalculates.</t>
        </is>
      </c>
    </row>
    <row r="16">
      <c r="B16" s="7" t="inlineStr">
        <is>
          <t>04_Sprint_Plan</t>
        </is>
      </c>
      <c r="C16" s="6" t="inlineStr">
        <is>
          <t>The 14 days, day by day. GE tag, deliverable, owner, due, status.</t>
        </is>
      </c>
    </row>
    <row r="17">
      <c r="B17" s="7" t="inlineStr">
        <is>
          <t>05_Daily_Log</t>
        </is>
      </c>
      <c r="C17" s="6" t="inlineStr">
        <is>
          <t>The data entry sheet. Everything else in this workbook reads from it.</t>
        </is>
      </c>
    </row>
    <row r="18">
      <c r="B18" s="7" t="inlineStr">
        <is>
          <t>06_GE1_Paid_Media</t>
        </is>
      </c>
      <c r="C18" s="6" t="inlineStr">
        <is>
          <t>Paid media engine. Spend, clicks, signups, sales, cost per sale. Reads 05_Daily_Log.</t>
        </is>
      </c>
    </row>
    <row r="19">
      <c r="B19" s="7" t="inlineStr">
        <is>
          <t>07_GE2_School_Outreach</t>
        </is>
      </c>
      <c r="C19" s="6" t="inlineStr">
        <is>
          <t>School outreach engine. Visits, calls, signups captured, sales. Reads 05_Daily_Log.</t>
        </is>
      </c>
    </row>
    <row r="20">
      <c r="B20" s="7" t="inlineStr">
        <is>
          <t>08_School_Visits</t>
        </is>
      </c>
      <c r="C20" s="6" t="inlineStr">
        <is>
          <t>The visit schedule for these 14 days, and the result of each visit.</t>
        </is>
      </c>
    </row>
    <row r="21">
      <c r="B21" s="7" t="inlineStr">
        <is>
          <t>09_UTM_Register</t>
        </is>
      </c>
      <c r="C21" s="6" t="inlineStr">
        <is>
          <t>Every tagged link used in the sprint. A link that is not on this sheet does not get counted.</t>
        </is>
      </c>
    </row>
    <row r="22">
      <c r="B22" s="7" t="inlineStr">
        <is>
          <t>10_KPIs</t>
        </is>
      </c>
      <c r="C22" s="6" t="inlineStr">
        <is>
          <t>Live dashboard by engine. Current pulls from 05_Daily_Log. Target and Trigger are fixed.</t>
        </is>
      </c>
    </row>
    <row r="23">
      <c r="B23" s="7" t="inlineStr">
        <is>
          <t>11_Go_No_Go</t>
        </is>
      </c>
      <c r="C23" s="6" t="inlineStr">
        <is>
          <t>The day 14 decision gate, with the thresholds written before the sprint starts.</t>
        </is>
      </c>
    </row>
    <row r="25" ht="20" customHeight="1">
      <c r="B25" s="3" t="inlineStr">
        <is>
          <t>Colour legend</t>
        </is>
      </c>
      <c r="C25" s="4" t="n"/>
    </row>
    <row r="26">
      <c r="B26" s="8" t="inlineStr">
        <is>
          <t>Yellow fill</t>
        </is>
      </c>
      <c r="C26" s="6" t="inlineStr">
        <is>
          <t>An input. Type here. These are the only cells that should ever be edited.</t>
        </is>
      </c>
    </row>
    <row r="27">
      <c r="B27" s="9" t="inlineStr">
        <is>
          <t>Blue bold text</t>
        </is>
      </c>
      <c r="C27" s="6" t="inlineStr">
        <is>
          <t>A number that was typed in, not calculated. Change it in 03_Sprint_Drivers only.</t>
        </is>
      </c>
    </row>
    <row r="28">
      <c r="B28" s="5" t="inlineStr">
        <is>
          <t>Black text</t>
        </is>
      </c>
      <c r="C28" s="6" t="inlineStr">
        <is>
          <t>A formula. Do not overwrite.</t>
        </is>
      </c>
    </row>
    <row r="29">
      <c r="B29" s="10" t="inlineStr">
        <is>
          <t>Orange fill</t>
        </is>
      </c>
      <c r="C29" s="6" t="inlineStr">
        <is>
          <t>Blocked on someone outside this team. Named in the row.</t>
        </is>
      </c>
    </row>
    <row r="31">
      <c r="B31" s="2" t="inlineStr">
        <is>
          <t>Source for all pre-filled targets and budget lines: BridgeApp Phase 2 Operating Workbook v4 (May 2026), sheets 02_Budget_Master, 03_Calendar_Phase2, 04_GE1_Tracker, 05_GE2_Tracker, 09_KPIs_By_GE.</t>
        </is>
      </c>
    </row>
    <row r="32">
      <c r="B32" s="2" t="inlineStr">
        <is>
          <t>Source for the 40 000 by 30 Nov 2026 target and the 15 week pace: campaign brief, Blank Canvas.</t>
        </is>
      </c>
    </row>
    <row r="33">
      <c r="B33" s="2" t="inlineStr">
        <is>
          <t>Counting sales is a Gradesmatch tech function, not a manual task. It needs either the GA4 purchase event or an automated feed of cleared Peach transactions. Until one of them lands, this workbook has no way to record a sale. See 03_Sprint_Drivers.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29"/>
  <sheetViews>
    <sheetView workbookViewId="0">
      <selection activeCell="A1" sqref="A1"/>
    </sheetView>
  </sheetViews>
  <sheetFormatPr baseColWidth="8" defaultRowHeight="15"/>
  <cols>
    <col width="3" customWidth="1" min="1" max="1"/>
    <col width="34" customWidth="1" min="2" max="2"/>
    <col width="24" customWidth="1" min="3" max="3"/>
    <col width="22" customWidth="1" min="4" max="4"/>
    <col width="34" customWidth="1" min="5" max="5"/>
  </cols>
  <sheetData>
    <row r="2" ht="27" customHeight="1">
      <c r="B2" s="1" t="inlineStr">
        <is>
          <t>OWNERS</t>
        </is>
      </c>
    </row>
    <row r="3" ht="13" customHeight="1">
      <c r="B3" s="2" t="inlineStr">
        <is>
          <t>One name per sheet. Fill the yellow Named Person column before day 1. An unowned sheet does not get filled in.</t>
        </is>
      </c>
    </row>
    <row r="5" ht="20" customHeight="1">
      <c r="B5" s="3" t="inlineStr">
        <is>
          <t>Sheet ownership</t>
        </is>
      </c>
      <c r="C5" s="4" t="n"/>
      <c r="D5" s="4" t="n"/>
      <c r="E5" s="4" t="n"/>
    </row>
    <row r="6" ht="26" customHeight="1">
      <c r="B6" s="11" t="inlineStr">
        <is>
          <t>Sheet / workstream</t>
        </is>
      </c>
      <c r="C6" s="11" t="inlineStr">
        <is>
          <t>Owner role</t>
        </is>
      </c>
      <c r="D6" s="11" t="inlineStr">
        <is>
          <t>Named person</t>
        </is>
      </c>
      <c r="E6" s="11" t="inlineStr">
        <is>
          <t>Cadence</t>
        </is>
      </c>
    </row>
    <row r="7">
      <c r="B7" s="6" t="inlineStr">
        <is>
          <t>03_Sprint_Drivers</t>
        </is>
      </c>
      <c r="C7" s="6" t="inlineStr">
        <is>
          <t>Campaign Lead</t>
        </is>
      </c>
      <c r="D7" s="12" t="inlineStr">
        <is>
          <t>TBC</t>
        </is>
      </c>
      <c r="E7" s="13" t="inlineStr">
        <is>
          <t>Weekly, Monday</t>
        </is>
      </c>
    </row>
    <row r="8">
      <c r="B8" s="6" t="inlineStr">
        <is>
          <t>04_Sprint_Plan</t>
        </is>
      </c>
      <c r="C8" s="6" t="inlineStr">
        <is>
          <t>Campaign Lead</t>
        </is>
      </c>
      <c r="D8" s="12" t="inlineStr">
        <is>
          <t>TBC</t>
        </is>
      </c>
      <c r="E8" s="13" t="inlineStr">
        <is>
          <t>Daily</t>
        </is>
      </c>
    </row>
    <row r="9">
      <c r="B9" s="6" t="inlineStr">
        <is>
          <t>05_Daily_Log (GE1 columns)</t>
        </is>
      </c>
      <c r="C9" s="6" t="inlineStr">
        <is>
          <t>Performance Marketer</t>
        </is>
      </c>
      <c r="D9" s="12" t="inlineStr">
        <is>
          <t>TBC</t>
        </is>
      </c>
      <c r="E9" s="13" t="inlineStr">
        <is>
          <t>Daily by 09:00</t>
        </is>
      </c>
    </row>
    <row r="10">
      <c r="B10" s="6" t="inlineStr">
        <is>
          <t>05_Daily_Log (GE2 columns)</t>
        </is>
      </c>
      <c r="C10" s="6" t="inlineStr">
        <is>
          <t>Schools Coordinator</t>
        </is>
      </c>
      <c r="D10" s="12" t="inlineStr">
        <is>
          <t>TBC</t>
        </is>
      </c>
      <c r="E10" s="13" t="inlineStr">
        <is>
          <t>Same day as visit</t>
        </is>
      </c>
    </row>
    <row r="11">
      <c r="B11" s="6" t="inlineStr">
        <is>
          <t>06_GE1_Paid_Media</t>
        </is>
      </c>
      <c r="C11" s="6" t="inlineStr">
        <is>
          <t>Performance Marketer</t>
        </is>
      </c>
      <c r="D11" s="12" t="inlineStr">
        <is>
          <t>TBC</t>
        </is>
      </c>
      <c r="E11" s="13" t="inlineStr">
        <is>
          <t>Daily</t>
        </is>
      </c>
    </row>
    <row r="12">
      <c r="B12" s="6" t="inlineStr">
        <is>
          <t>07_GE2_School_Outreach</t>
        </is>
      </c>
      <c r="C12" s="6" t="inlineStr">
        <is>
          <t>Schools Coordinator</t>
        </is>
      </c>
      <c r="D12" s="12" t="inlineStr">
        <is>
          <t>TBC</t>
        </is>
      </c>
      <c r="E12" s="13" t="inlineStr">
        <is>
          <t>Daily</t>
        </is>
      </c>
    </row>
    <row r="13">
      <c r="B13" s="6" t="inlineStr">
        <is>
          <t>08_School_Visits</t>
        </is>
      </c>
      <c r="C13" s="6" t="inlineStr">
        <is>
          <t>Schools Coordinator</t>
        </is>
      </c>
      <c r="D13" s="12" t="inlineStr">
        <is>
          <t>TBC</t>
        </is>
      </c>
      <c r="E13" s="13" t="inlineStr">
        <is>
          <t>Same day as visit</t>
        </is>
      </c>
    </row>
    <row r="14">
      <c r="B14" s="6" t="inlineStr">
        <is>
          <t>09_UTM_Register</t>
        </is>
      </c>
      <c r="C14" s="6" t="inlineStr">
        <is>
          <t>Performance Marketer</t>
        </is>
      </c>
      <c r="D14" s="12" t="inlineStr">
        <is>
          <t>TBC</t>
        </is>
      </c>
      <c r="E14" s="13" t="inlineStr">
        <is>
          <t>Before any link goes live</t>
        </is>
      </c>
    </row>
    <row r="15">
      <c r="B15" s="6" t="inlineStr">
        <is>
          <t>10_KPIs</t>
        </is>
      </c>
      <c r="C15" s="6" t="inlineStr">
        <is>
          <t>Campaign Lead</t>
        </is>
      </c>
      <c r="D15" s="12" t="inlineStr">
        <is>
          <t>TBC</t>
        </is>
      </c>
      <c r="E15" s="13" t="inlineStr">
        <is>
          <t>Weekly, Monday stand-up</t>
        </is>
      </c>
    </row>
    <row r="16">
      <c r="B16" s="6" t="inlineStr">
        <is>
          <t>11_Go_No_Go</t>
        </is>
      </c>
      <c r="C16" s="6" t="inlineStr">
        <is>
          <t>Campaign Lead</t>
        </is>
      </c>
      <c r="D16" s="12" t="inlineStr">
        <is>
          <t>TBC</t>
        </is>
      </c>
      <c r="E16" s="13" t="inlineStr">
        <is>
          <t>Once, day 14</t>
        </is>
      </c>
    </row>
    <row r="17">
      <c r="B17" s="6" t="inlineStr">
        <is>
          <t>Sales counting, Peach to ledger</t>
        </is>
      </c>
      <c r="C17" s="6" t="inlineStr">
        <is>
          <t>Gradesmatch tech</t>
        </is>
      </c>
      <c r="D17" s="12" t="inlineStr">
        <is>
          <t>TBC</t>
        </is>
      </c>
      <c r="E17" s="13" t="inlineStr">
        <is>
          <t>Automated, daily</t>
        </is>
      </c>
    </row>
    <row r="18">
      <c r="B18" s="6" t="inlineStr">
        <is>
          <t>Creative for paid + school assets</t>
        </is>
      </c>
      <c r="C18" s="6" t="inlineStr">
        <is>
          <t>Designer</t>
        </is>
      </c>
      <c r="D18" s="12" t="inlineStr">
        <is>
          <t>TBC</t>
        </is>
      </c>
      <c r="E18" s="13" t="inlineStr">
        <is>
          <t>Per brief</t>
        </is>
      </c>
    </row>
    <row r="19">
      <c r="B19" s="6" t="inlineStr">
        <is>
          <t>Organic content in support of sprint</t>
        </is>
      </c>
      <c r="C19" s="6" t="inlineStr">
        <is>
          <t>Content Producer</t>
        </is>
      </c>
      <c r="D19" s="12" t="inlineStr">
        <is>
          <t>TBC</t>
        </is>
      </c>
      <c r="E19" s="13" t="inlineStr">
        <is>
          <t>Daily</t>
        </is>
      </c>
    </row>
    <row r="21" ht="20" customHeight="1">
      <c r="B21" s="3" t="inlineStr">
        <is>
          <t>Decision authority for these 14 days</t>
        </is>
      </c>
      <c r="C21" s="4" t="n"/>
      <c r="D21" s="4" t="n"/>
      <c r="E21" s="4" t="n"/>
    </row>
    <row r="22" ht="26" customHeight="1">
      <c r="B22" s="11" t="inlineStr">
        <is>
          <t>Decision</t>
        </is>
      </c>
      <c r="C22" s="11" t="inlineStr">
        <is>
          <t>Approver</t>
        </is>
      </c>
      <c r="D22" s="11" t="inlineStr">
        <is>
          <t>Escalation</t>
        </is>
      </c>
      <c r="E22" s="11" t="inlineStr">
        <is>
          <t>Notes</t>
        </is>
      </c>
    </row>
    <row r="23">
      <c r="B23" s="6" t="inlineStr">
        <is>
          <t>Move spend between GE1 and GE2</t>
        </is>
      </c>
      <c r="C23" s="5" t="inlineStr">
        <is>
          <t>Campaign Lead</t>
        </is>
      </c>
      <c r="D23" s="6" t="inlineStr">
        <is>
          <t>MD</t>
        </is>
      </c>
      <c r="E23" s="13" t="inlineStr">
        <is>
          <t>Inside the sprint cap only</t>
        </is>
      </c>
    </row>
    <row r="24">
      <c r="B24" s="6" t="inlineStr">
        <is>
          <t>Any spend above the sprint cap</t>
        </is>
      </c>
      <c r="C24" s="5" t="inlineStr">
        <is>
          <t>MD</t>
        </is>
      </c>
      <c r="D24" s="6" t="inlineStr">
        <is>
          <t>Founders</t>
        </is>
      </c>
      <c r="E24" s="13" t="inlineStr">
        <is>
          <t>Pre approval, in writing</t>
        </is>
      </c>
    </row>
    <row r="25">
      <c r="B25" s="6" t="inlineStr">
        <is>
          <t>Pause a channel mid sprint</t>
        </is>
      </c>
      <c r="C25" s="5" t="inlineStr">
        <is>
          <t>Performance Marketer</t>
        </is>
      </c>
      <c r="D25" s="6" t="inlineStr">
        <is>
          <t>Campaign Lead</t>
        </is>
      </c>
      <c r="E25" s="13" t="inlineStr">
        <is>
          <t>Same day if cost per sale doubles target</t>
        </is>
      </c>
    </row>
    <row r="26">
      <c r="B26" s="6" t="inlineStr">
        <is>
          <t>Add or drop a school visit</t>
        </is>
      </c>
      <c r="C26" s="5" t="inlineStr">
        <is>
          <t>Schools Coordinator</t>
        </is>
      </c>
      <c r="D26" s="6" t="inlineStr">
        <is>
          <t>Campaign Lead</t>
        </is>
      </c>
      <c r="E26" s="13" t="inlineStr">
        <is>
          <t>Log the reason in 08_School_Visits</t>
        </is>
      </c>
    </row>
    <row r="27">
      <c r="B27" s="6" t="inlineStr">
        <is>
          <t>Publish a link without a UTM</t>
        </is>
      </c>
      <c r="C27" s="5" t="inlineStr">
        <is>
          <t>Not permitted</t>
        </is>
      </c>
      <c r="D27" s="6" t="inlineStr">
        <is>
          <t>Campaign Lead</t>
        </is>
      </c>
      <c r="E27" s="13" t="inlineStr">
        <is>
          <t>Untagged traffic cannot be counted</t>
        </is>
      </c>
    </row>
    <row r="28">
      <c r="B28" s="6" t="inlineStr">
        <is>
          <t>Change a driver in 03_Sprint_Drivers</t>
        </is>
      </c>
      <c r="C28" s="5" t="inlineStr">
        <is>
          <t>Campaign Lead</t>
        </is>
      </c>
      <c r="D28" s="6" t="inlineStr">
        <is>
          <t>MD</t>
        </is>
      </c>
      <c r="E28" s="13" t="inlineStr">
        <is>
          <t>Note the date and reason in the row</t>
        </is>
      </c>
    </row>
    <row r="29">
      <c r="B29" s="6" t="inlineStr">
        <is>
          <t>Day 14 go or no go</t>
        </is>
      </c>
      <c r="C29" s="5" t="inlineStr">
        <is>
          <t>MD</t>
        </is>
      </c>
      <c r="D29" s="6" t="inlineStr">
        <is>
          <t>Founders</t>
        </is>
      </c>
      <c r="E29" s="13" t="inlineStr">
        <is>
          <t>On the evidence in 11_Go_No_Go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81"/>
  <sheetViews>
    <sheetView workbookViewId="0">
      <selection activeCell="A1" sqref="A1"/>
    </sheetView>
  </sheetViews>
  <sheetFormatPr baseColWidth="8" defaultRowHeight="15"/>
  <cols>
    <col width="3" customWidth="1" min="1" max="1"/>
    <col width="42" customWidth="1" min="2" max="2"/>
    <col width="16" customWidth="1" min="3" max="3"/>
    <col width="13" customWidth="1" min="4" max="4"/>
    <col width="58" customWidth="1" min="5" max="5"/>
  </cols>
  <sheetData>
    <row r="2" ht="27" customHeight="1">
      <c r="B2" s="1" t="inlineStr">
        <is>
          <t>BASELINES: WHAT THE PLATFORMS ALREADY TELL US</t>
        </is>
      </c>
    </row>
    <row r="3" ht="13" customHeight="1">
      <c r="B3" s="2" t="inlineStr">
        <is>
          <t>Real reported figures, not estimates. Every driver on 03_Sprint_Drivers that can be grounded in one of these is grounded in it.</t>
        </is>
      </c>
    </row>
    <row r="5" ht="20" customHeight="1">
      <c r="B5" s="3" t="inlineStr">
        <is>
          <t>Paid: Meta boosted post, 29 July to 5 August 2026, 8 days</t>
        </is>
      </c>
      <c r="C5" s="4" t="n"/>
      <c r="D5" s="4" t="n"/>
      <c r="E5" s="4" t="n"/>
    </row>
    <row r="6" ht="26" customHeight="1">
      <c r="B6" s="11" t="inlineStr">
        <is>
          <t>Reported figure</t>
        </is>
      </c>
      <c r="C6" s="11" t="inlineStr">
        <is>
          <t>Value</t>
        </is>
      </c>
      <c r="D6" s="11" t="inlineStr"/>
      <c r="E6" s="11" t="inlineStr">
        <is>
          <t>Source</t>
        </is>
      </c>
    </row>
    <row r="7">
      <c r="B7" s="6" t="inlineStr">
        <is>
          <t>Spend</t>
        </is>
      </c>
      <c r="C7" s="14" t="n">
        <v>1617.57</v>
      </c>
      <c r="E7" s="2" t="inlineStr">
        <is>
          <t>Meta Ad insights, boosted Instagram post, screenshot 20 Aug 2026.</t>
        </is>
      </c>
    </row>
    <row r="8">
      <c r="B8" s="6" t="inlineStr">
        <is>
          <t>Daily budget</t>
        </is>
      </c>
      <c r="C8" s="14" t="n">
        <v>232</v>
      </c>
      <c r="E8" s="2" t="inlineStr">
        <is>
          <t>Meta Ad insights, boosted Instagram post, screenshot 20 Aug 2026.</t>
        </is>
      </c>
    </row>
    <row r="9">
      <c r="B9" s="6" t="inlineStr">
        <is>
          <t>Views</t>
        </is>
      </c>
      <c r="C9" s="15" t="n">
        <v>15979</v>
      </c>
      <c r="E9" s="2" t="inlineStr">
        <is>
          <t>Meta Ad insights, boosted Instagram post, screenshot 20 Aug 2026.</t>
        </is>
      </c>
    </row>
    <row r="10">
      <c r="B10" s="6" t="inlineStr">
        <is>
          <t>Viewers reached</t>
        </is>
      </c>
      <c r="C10" s="15" t="n">
        <v>11034</v>
      </c>
      <c r="E10" s="2" t="inlineStr">
        <is>
          <t>Meta Ad insights, boosted Instagram post, screenshot 20 Aug 2026.</t>
        </is>
      </c>
    </row>
    <row r="11">
      <c r="B11" s="6" t="inlineStr">
        <is>
          <t>Link clicks</t>
        </is>
      </c>
      <c r="C11" s="15" t="n">
        <v>491</v>
      </c>
      <c r="E11" s="2" t="inlineStr">
        <is>
          <t>Meta Ad insights, boosted Instagram post, screenshot 20 Aug 2026.</t>
        </is>
      </c>
    </row>
    <row r="12">
      <c r="B12" s="6" t="inlineStr">
        <is>
          <t>Link click through rate</t>
        </is>
      </c>
      <c r="C12" s="16" t="n">
        <v>0.031</v>
      </c>
      <c r="E12" s="2" t="inlineStr">
        <is>
          <t>Meta Ad insights, boosted Instagram post, screenshot 20 Aug 2026.</t>
        </is>
      </c>
    </row>
    <row r="13">
      <c r="B13" s="6" t="inlineStr">
        <is>
          <t>Cost per link click</t>
        </is>
      </c>
      <c r="C13" s="17">
        <f>'02_Baselines'!$C$7/'02_Baselines'!$C$11</f>
        <v/>
      </c>
      <c r="E13" s="2" t="inlineStr">
        <is>
          <t>Calculated from the two rows above. This is the only cost figure in the campaign that is real.</t>
        </is>
      </c>
    </row>
    <row r="14">
      <c r="B14" s="6" t="inlineStr">
        <is>
          <t>Instagram profile visits</t>
        </is>
      </c>
      <c r="C14" s="15" t="n">
        <v>490</v>
      </c>
      <c r="E14" s="2" t="inlineStr">
        <is>
          <t>Meta Ad insights, boosted Instagram post, screenshot 20 Aug 2026.</t>
        </is>
      </c>
    </row>
    <row r="15">
      <c r="B15" s="6" t="inlineStr">
        <is>
          <t>Cost per profile visit</t>
        </is>
      </c>
      <c r="C15" s="14" t="n">
        <v>3.3</v>
      </c>
      <c r="E15" s="2" t="inlineStr">
        <is>
          <t>Meta Ad insights, boosted Instagram post, screenshot 20 Aug 2026.</t>
        </is>
      </c>
    </row>
    <row r="16">
      <c r="B16" s="6" t="inlineStr">
        <is>
          <t>Instagram follows</t>
        </is>
      </c>
      <c r="C16" s="15" t="n">
        <v>127</v>
      </c>
      <c r="E16" s="2" t="inlineStr">
        <is>
          <t>Meta Ad insights, boosted Instagram post, screenshot 20 Aug 2026.</t>
        </is>
      </c>
    </row>
    <row r="17">
      <c r="B17" s="6" t="inlineStr">
        <is>
          <t>Post engagements</t>
        </is>
      </c>
      <c r="C17" s="15" t="n">
        <v>6595</v>
      </c>
      <c r="E17" s="2" t="inlineStr">
        <is>
          <t>Meta Ad insights, boosted Instagram post, screenshot 20 Aug 2026.</t>
        </is>
      </c>
    </row>
    <row r="18">
      <c r="B18" s="6" t="inlineStr">
        <is>
          <t>Reactions</t>
        </is>
      </c>
      <c r="C18" s="15" t="n">
        <v>417</v>
      </c>
      <c r="E18" s="2" t="inlineStr">
        <is>
          <t>Meta Ad insights, boosted Instagram post, screenshot 20 Aug 2026.</t>
        </is>
      </c>
    </row>
    <row r="19">
      <c r="B19" s="6" t="inlineStr">
        <is>
          <t>Comments</t>
        </is>
      </c>
      <c r="C19" s="15" t="n">
        <v>1</v>
      </c>
      <c r="E19" s="2" t="inlineStr">
        <is>
          <t>Meta Ad insights, boosted Instagram post, screenshot 20 Aug 2026.</t>
        </is>
      </c>
    </row>
    <row r="20">
      <c r="B20" s="6" t="inlineStr">
        <is>
          <t>Shares</t>
        </is>
      </c>
      <c r="C20" s="15" t="n">
        <v>30</v>
      </c>
      <c r="E20" s="2" t="inlineStr">
        <is>
          <t>Meta Ad insights, boosted Instagram post, screenshot 20 Aug 2026.</t>
        </is>
      </c>
    </row>
    <row r="21">
      <c r="B21" s="6" t="inlineStr">
        <is>
          <t>Saves</t>
        </is>
      </c>
      <c r="C21" s="15" t="n">
        <v>52</v>
      </c>
      <c r="E21" s="2" t="inlineStr">
        <is>
          <t>Meta Ad insights, boosted Instagram post, screenshot 20 Aug 2026.</t>
        </is>
      </c>
    </row>
    <row r="22">
      <c r="B22" s="6" t="inlineStr">
        <is>
          <t>Reel plays</t>
        </is>
      </c>
      <c r="C22" s="15" t="n">
        <v>14730</v>
      </c>
      <c r="E22" s="2" t="inlineStr">
        <is>
          <t>Meta Ad insights, boosted Instagram post, screenshot 20 Aug 2026.</t>
        </is>
      </c>
    </row>
    <row r="23">
      <c r="B23" s="6" t="inlineStr">
        <is>
          <t>ThruPlays</t>
        </is>
      </c>
      <c r="C23" s="15" t="n">
        <v>1757</v>
      </c>
      <c r="E23" s="2" t="inlineStr">
        <is>
          <t>Meta Ad insights, boosted Instagram post, screenshot 20 Aug 2026.</t>
        </is>
      </c>
    </row>
    <row r="24">
      <c r="B24" s="6" t="inlineStr">
        <is>
          <t>Video length (seconds)</t>
        </is>
      </c>
      <c r="C24" s="15" t="n">
        <v>53</v>
      </c>
      <c r="E24" s="2" t="inlineStr">
        <is>
          <t>Meta Ad insights, boosted Instagram post, screenshot 20 Aug 2026.</t>
        </is>
      </c>
    </row>
    <row r="25">
      <c r="B25" s="6" t="inlineStr">
        <is>
          <t>Average watch time (seconds)</t>
        </is>
      </c>
      <c r="C25" s="15" t="n">
        <v>7</v>
      </c>
      <c r="E25" s="2" t="inlineStr">
        <is>
          <t>Meta Ad insights, boosted Instagram post, screenshot 20 Aug 2026.</t>
        </is>
      </c>
    </row>
    <row r="26">
      <c r="B26" s="6" t="inlineStr">
        <is>
          <t>Hook rate</t>
        </is>
      </c>
      <c r="C26" s="16" t="n">
        <v>0.38</v>
      </c>
      <c r="E26" s="2" t="inlineStr">
        <is>
          <t>Meta Ad insights, boosted Instagram post, screenshot 20 Aug 2026.</t>
        </is>
      </c>
    </row>
    <row r="27">
      <c r="B27" s="6" t="inlineStr">
        <is>
          <t>Hold rate</t>
        </is>
      </c>
      <c r="C27" s="16" t="n">
        <v>0.076</v>
      </c>
      <c r="E27" s="2" t="inlineStr">
        <is>
          <t>Meta Ad insights, boosted Instagram post, screenshot 20 Aug 2026.</t>
        </is>
      </c>
    </row>
    <row r="29" ht="20" customHeight="1">
      <c r="B29" s="3" t="inlineStr">
        <is>
          <t>Paid: who it actually reached</t>
        </is>
      </c>
      <c r="C29" s="4" t="n"/>
      <c r="D29" s="4" t="n"/>
      <c r="E29" s="4" t="n"/>
    </row>
    <row r="30" ht="26" customHeight="1">
      <c r="B30" s="11" t="inlineStr">
        <is>
          <t>Reported figure</t>
        </is>
      </c>
      <c r="C30" s="11" t="inlineStr">
        <is>
          <t>Value</t>
        </is>
      </c>
      <c r="D30" s="11" t="inlineStr"/>
      <c r="E30" s="11" t="inlineStr">
        <is>
          <t>Source</t>
        </is>
      </c>
    </row>
    <row r="31">
      <c r="B31" s="6" t="inlineStr">
        <is>
          <t>Women</t>
        </is>
      </c>
      <c r="C31" s="16" t="n">
        <v>0.607</v>
      </c>
      <c r="E31" s="2" t="inlineStr">
        <is>
          <t>Meta Ad insights, boosted Instagram post, screenshot 20 Aug 2026.</t>
        </is>
      </c>
    </row>
    <row r="32">
      <c r="B32" s="6" t="inlineStr">
        <is>
          <t>Men</t>
        </is>
      </c>
      <c r="C32" s="16" t="n">
        <v>0.384</v>
      </c>
      <c r="E32" s="2" t="inlineStr">
        <is>
          <t>Meta Ad insights, boosted Instagram post, screenshot 20 Aug 2026.</t>
        </is>
      </c>
    </row>
    <row r="33">
      <c r="B33" s="6" t="inlineStr">
        <is>
          <t>Non binary</t>
        </is>
      </c>
      <c r="C33" s="16" t="n">
        <v>0.008999999999999999</v>
      </c>
      <c r="E33" s="2" t="inlineStr">
        <is>
          <t>Meta Ad insights, boosted Instagram post, screenshot 20 Aug 2026.</t>
        </is>
      </c>
    </row>
    <row r="34">
      <c r="B34" s="6" t="inlineStr">
        <is>
          <t>Largest age band</t>
        </is>
      </c>
      <c r="C34" s="18" t="inlineStr">
        <is>
          <t>35 to 44</t>
        </is>
      </c>
      <c r="E34" s="2" t="inlineStr">
        <is>
          <t>Meta reports bands as bars without figures. 35 to 44 is the longest bar, 25 to 34 second.</t>
        </is>
      </c>
    </row>
    <row r="35">
      <c r="B35" s="6" t="inlineStr">
        <is>
          <t>Gauteng</t>
        </is>
      </c>
      <c r="C35" s="18" t="inlineStr">
        <is>
          <t>Largest</t>
        </is>
      </c>
      <c r="E35" s="2" t="inlineStr">
        <is>
          <t>Bar is full width, figure not shown in the export.</t>
        </is>
      </c>
    </row>
    <row r="36">
      <c r="B36" s="6" t="inlineStr">
        <is>
          <t>KwaZulu Natal</t>
        </is>
      </c>
      <c r="C36" s="15" t="n">
        <v>1200</v>
      </c>
      <c r="E36" s="2" t="inlineStr">
        <is>
          <t>Meta Ad insights, boosted Instagram post, screenshot 20 Aug 2026.</t>
        </is>
      </c>
    </row>
    <row r="37">
      <c r="B37" s="6" t="inlineStr">
        <is>
          <t>Western Cape</t>
        </is>
      </c>
      <c r="C37" s="15" t="n">
        <v>863</v>
      </c>
      <c r="E37" s="2" t="inlineStr">
        <is>
          <t>Meta Ad insights, boosted Instagram post, screenshot 20 Aug 2026.</t>
        </is>
      </c>
    </row>
    <row r="38">
      <c r="B38" s="6" t="inlineStr">
        <is>
          <t>Limpopo</t>
        </is>
      </c>
      <c r="C38" s="15" t="n">
        <v>572</v>
      </c>
      <c r="E38" s="2" t="inlineStr">
        <is>
          <t>Meta Ad insights, boosted Instagram post, screenshot 20 Aug 2026.</t>
        </is>
      </c>
    </row>
    <row r="39">
      <c r="B39" s="6" t="inlineStr">
        <is>
          <t>Eastern Cape</t>
        </is>
      </c>
      <c r="C39" s="15" t="n">
        <v>556</v>
      </c>
      <c r="E39" s="2" t="inlineStr">
        <is>
          <t>Meta Ad insights, boosted Instagram post, screenshot 20 Aug 2026.</t>
        </is>
      </c>
    </row>
    <row r="40">
      <c r="B40" s="6" t="inlineStr">
        <is>
          <t>Mpumalanga</t>
        </is>
      </c>
      <c r="C40" s="15" t="n">
        <v>556</v>
      </c>
      <c r="E40" s="2" t="inlineStr">
        <is>
          <t>Meta Ad insights, boosted Instagram post, screenshot 20 Aug 2026.</t>
        </is>
      </c>
    </row>
    <row r="42" ht="20" customHeight="1">
      <c r="B42" s="3" t="inlineStr">
        <is>
          <t>Organic: reel on Facebook and Instagram</t>
        </is>
      </c>
      <c r="C42" s="4" t="n"/>
      <c r="D42" s="4" t="n"/>
      <c r="E42" s="4" t="n"/>
    </row>
    <row r="43" ht="26" customHeight="1">
      <c r="B43" s="11" t="inlineStr">
        <is>
          <t>Reported figure</t>
        </is>
      </c>
      <c r="C43" s="11" t="inlineStr">
        <is>
          <t>Value</t>
        </is>
      </c>
      <c r="D43" s="11" t="inlineStr"/>
      <c r="E43" s="11" t="inlineStr">
        <is>
          <t>Source</t>
        </is>
      </c>
    </row>
    <row r="44">
      <c r="B44" s="6" t="inlineStr">
        <is>
          <t>Views, total</t>
        </is>
      </c>
      <c r="C44" s="15" t="n">
        <v>12677</v>
      </c>
      <c r="E44" s="2" t="inlineStr">
        <is>
          <t>Reel insights, screenshot 20 Aug 2026.</t>
        </is>
      </c>
    </row>
    <row r="45">
      <c r="B45" s="6" t="inlineStr">
        <is>
          <t>Views, Instagram</t>
        </is>
      </c>
      <c r="C45" s="15" t="n">
        <v>11992</v>
      </c>
      <c r="E45" s="2" t="inlineStr">
        <is>
          <t>Reel insights, screenshot 20 Aug 2026.</t>
        </is>
      </c>
    </row>
    <row r="46">
      <c r="B46" s="6" t="inlineStr">
        <is>
          <t>Views, Facebook</t>
        </is>
      </c>
      <c r="C46" s="15" t="n">
        <v>685</v>
      </c>
      <c r="E46" s="2" t="inlineStr">
        <is>
          <t>Reel insights, screenshot 20 Aug 2026.</t>
        </is>
      </c>
    </row>
    <row r="47">
      <c r="B47" s="6" t="inlineStr">
        <is>
          <t>Views from followers</t>
        </is>
      </c>
      <c r="C47" s="15" t="n">
        <v>1410</v>
      </c>
      <c r="E47" s="2" t="inlineStr">
        <is>
          <t>Reel insights, screenshot 20 Aug 2026.</t>
        </is>
      </c>
    </row>
    <row r="48">
      <c r="B48" s="6" t="inlineStr">
        <is>
          <t>Views from non followers</t>
        </is>
      </c>
      <c r="C48" s="15" t="n">
        <v>10977</v>
      </c>
      <c r="E48" s="2" t="inlineStr">
        <is>
          <t>Reel insights, screenshot 20 Aug 2026.</t>
        </is>
      </c>
    </row>
    <row r="49">
      <c r="B49" s="6" t="inlineStr">
        <is>
          <t>Interactions</t>
        </is>
      </c>
      <c r="C49" s="15" t="n">
        <v>69</v>
      </c>
      <c r="E49" s="2" t="inlineStr">
        <is>
          <t>Reel insights, screenshot 20 Aug 2026.</t>
        </is>
      </c>
    </row>
    <row r="50">
      <c r="B50" s="6" t="inlineStr">
        <is>
          <t>Reactions</t>
        </is>
      </c>
      <c r="C50" s="15" t="n">
        <v>55</v>
      </c>
      <c r="E50" s="2" t="inlineStr">
        <is>
          <t>Reel insights, screenshot 20 Aug 2026.</t>
        </is>
      </c>
    </row>
    <row r="51">
      <c r="B51" s="6" t="inlineStr">
        <is>
          <t>Shares</t>
        </is>
      </c>
      <c r="C51" s="15" t="n">
        <v>9</v>
      </c>
      <c r="E51" s="2" t="inlineStr">
        <is>
          <t>Reel insights, screenshot 20 Aug 2026.</t>
        </is>
      </c>
    </row>
    <row r="52">
      <c r="B52" s="6" t="inlineStr">
        <is>
          <t>Saves</t>
        </is>
      </c>
      <c r="C52" s="15" t="n">
        <v>5</v>
      </c>
      <c r="E52" s="2" t="inlineStr">
        <is>
          <t>Reel insights, screenshot 20 Aug 2026.</t>
        </is>
      </c>
    </row>
    <row r="53">
      <c r="B53" s="6" t="inlineStr">
        <is>
          <t>Follows</t>
        </is>
      </c>
      <c r="C53" s="15" t="n">
        <v>17</v>
      </c>
      <c r="E53" s="2" t="inlineStr">
        <is>
          <t>Reel insights, screenshot 20 Aug 2026.</t>
        </is>
      </c>
    </row>
    <row r="55" ht="20" customHeight="1">
      <c r="B55" s="3" t="inlineStr">
        <is>
          <t>Organic: TikTok, single video posted 13 March 2026</t>
        </is>
      </c>
      <c r="C55" s="4" t="n"/>
      <c r="D55" s="4" t="n"/>
      <c r="E55" s="4" t="n"/>
    </row>
    <row r="56" ht="26" customHeight="1">
      <c r="B56" s="11" t="inlineStr">
        <is>
          <t>Reported figure</t>
        </is>
      </c>
      <c r="C56" s="11" t="inlineStr">
        <is>
          <t>Value</t>
        </is>
      </c>
      <c r="D56" s="11" t="inlineStr"/>
      <c r="E56" s="11" t="inlineStr">
        <is>
          <t>Source</t>
        </is>
      </c>
    </row>
    <row r="57">
      <c r="B57" s="6" t="inlineStr">
        <is>
          <t>Video views</t>
        </is>
      </c>
      <c r="C57" s="15" t="n">
        <v>38922</v>
      </c>
      <c r="E57" s="2" t="inlineStr">
        <is>
          <t>TikTok Studio video analysis, screenshot 20 Aug 2026.</t>
        </is>
      </c>
    </row>
    <row r="58">
      <c r="B58" s="6" t="inlineStr">
        <is>
          <t>Total viewers</t>
        </is>
      </c>
      <c r="C58" s="15" t="n">
        <v>30800</v>
      </c>
      <c r="E58" s="2" t="inlineStr">
        <is>
          <t>TikTok Studio video analysis, screenshot 20 Aug 2026.</t>
        </is>
      </c>
    </row>
    <row r="59">
      <c r="B59" s="6" t="inlineStr">
        <is>
          <t>Average watch time (seconds)</t>
        </is>
      </c>
      <c r="C59" s="19" t="n">
        <v>16.9</v>
      </c>
      <c r="E59" s="2" t="inlineStr">
        <is>
          <t>TikTok Studio video analysis, screenshot 20 Aug 2026.</t>
        </is>
      </c>
    </row>
    <row r="60">
      <c r="B60" s="6" t="inlineStr">
        <is>
          <t>Watched full video</t>
        </is>
      </c>
      <c r="C60" s="16" t="n">
        <v>0.0625</v>
      </c>
      <c r="E60" s="2" t="inlineStr">
        <is>
          <t>TikTok Studio video analysis, screenshot 20 Aug 2026.</t>
        </is>
      </c>
    </row>
    <row r="61">
      <c r="B61" s="6" t="inlineStr">
        <is>
          <t>Likes</t>
        </is>
      </c>
      <c r="C61" s="15" t="n">
        <v>5194</v>
      </c>
      <c r="E61" s="2" t="inlineStr">
        <is>
          <t>TikTok Studio video analysis, screenshot 20 Aug 2026.</t>
        </is>
      </c>
    </row>
    <row r="62">
      <c r="B62" s="6" t="inlineStr">
        <is>
          <t>Comments</t>
        </is>
      </c>
      <c r="C62" s="15" t="n">
        <v>20</v>
      </c>
      <c r="E62" s="2" t="inlineStr">
        <is>
          <t>TikTok Studio video analysis, screenshot 20 Aug 2026.</t>
        </is>
      </c>
    </row>
    <row r="63">
      <c r="B63" s="6" t="inlineStr">
        <is>
          <t>Shares</t>
        </is>
      </c>
      <c r="C63" s="15" t="n">
        <v>37</v>
      </c>
      <c r="E63" s="2" t="inlineStr">
        <is>
          <t>TikTok Studio video analysis, screenshot 20 Aug 2026.</t>
        </is>
      </c>
    </row>
    <row r="64">
      <c r="B64" s="6" t="inlineStr">
        <is>
          <t>Saves</t>
        </is>
      </c>
      <c r="C64" s="15" t="n">
        <v>159</v>
      </c>
      <c r="E64" s="2" t="inlineStr">
        <is>
          <t>TikTok Studio video analysis, screenshot 20 Aug 2026.</t>
        </is>
      </c>
    </row>
    <row r="65">
      <c r="B65" s="6" t="inlineStr">
        <is>
          <t>New followers</t>
        </is>
      </c>
      <c r="C65" s="15" t="n">
        <v>25</v>
      </c>
      <c r="E65" s="2" t="inlineStr">
        <is>
          <t>TikTok Studio video analysis, screenshot 20 Aug 2026.</t>
        </is>
      </c>
    </row>
    <row r="66">
      <c r="B66" s="6" t="inlineStr">
        <is>
          <t>Returning viewers</t>
        </is>
      </c>
      <c r="C66" s="16" t="n">
        <v>0.97</v>
      </c>
      <c r="E66" s="2" t="inlineStr">
        <is>
          <t>TikTok Studio video analysis, screenshot 20 Aug 2026.</t>
        </is>
      </c>
    </row>
    <row r="67">
      <c r="B67" s="6" t="inlineStr">
        <is>
          <t>Non followers</t>
        </is>
      </c>
      <c r="C67" s="16" t="n">
        <v>0.6</v>
      </c>
      <c r="E67" s="2" t="inlineStr">
        <is>
          <t>TikTok Studio video analysis, screenshot 20 Aug 2026.</t>
        </is>
      </c>
    </row>
    <row r="68">
      <c r="B68" s="6" t="inlineStr">
        <is>
          <t>Female</t>
        </is>
      </c>
      <c r="C68" s="16" t="n">
        <v>0.65</v>
      </c>
      <c r="E68" s="2" t="inlineStr">
        <is>
          <t>TikTok Studio video analysis, screenshot 20 Aug 2026.</t>
        </is>
      </c>
    </row>
    <row r="69">
      <c r="B69" s="6" t="inlineStr">
        <is>
          <t>Male</t>
        </is>
      </c>
      <c r="C69" s="16" t="n">
        <v>0.35</v>
      </c>
      <c r="E69" s="2" t="inlineStr">
        <is>
          <t>TikTok Studio video analysis, screenshot 20 Aug 2026.</t>
        </is>
      </c>
    </row>
    <row r="70">
      <c r="B70" s="6" t="inlineStr">
        <is>
          <t>Age 18 to 24</t>
        </is>
      </c>
      <c r="C70" s="16" t="n">
        <v>0.54</v>
      </c>
      <c r="E70" s="2" t="inlineStr">
        <is>
          <t>TikTok Studio video analysis, screenshot 20 Aug 2026.</t>
        </is>
      </c>
    </row>
    <row r="71">
      <c r="B71" s="6" t="inlineStr">
        <is>
          <t>Age 25 to 34</t>
        </is>
      </c>
      <c r="C71" s="16" t="n">
        <v>0.33</v>
      </c>
      <c r="E71" s="2" t="inlineStr">
        <is>
          <t>TikTok Studio video analysis, screenshot 20 Aug 2026.</t>
        </is>
      </c>
    </row>
    <row r="72">
      <c r="B72" s="6" t="inlineStr">
        <is>
          <t>Age 35 to 44</t>
        </is>
      </c>
      <c r="C72" s="16" t="n">
        <v>0.08</v>
      </c>
      <c r="E72" s="2" t="inlineStr">
        <is>
          <t>TikTok Studio video analysis, screenshot 20 Aug 2026.</t>
        </is>
      </c>
    </row>
    <row r="73">
      <c r="B73" s="6" t="inlineStr">
        <is>
          <t>South Africa</t>
        </is>
      </c>
      <c r="C73" s="16" t="n">
        <v>0.779</v>
      </c>
      <c r="E73" s="2" t="inlineStr">
        <is>
          <t>TikTok Studio video analysis, screenshot 20 Aug 2026.</t>
        </is>
      </c>
    </row>
    <row r="75" ht="20" customHeight="1">
      <c r="B75" s="3" t="inlineStr">
        <is>
          <t>What this settles, and what it does not</t>
        </is>
      </c>
      <c r="C75" s="4" t="n"/>
      <c r="D75" s="4" t="n"/>
      <c r="E75" s="4" t="n"/>
    </row>
    <row r="76" ht="26" customHeight="1">
      <c r="B76" s="20" t="inlineStr">
        <is>
          <t>Settled</t>
        </is>
      </c>
      <c r="C76" s="21" t="inlineStr">
        <is>
          <t>Cost per link click on Meta, at R3.29. That is a real number from a real buy against a real audience.</t>
        </is>
      </c>
    </row>
    <row r="77" ht="26" customHeight="1">
      <c r="B77" s="20" t="inlineStr">
        <is>
          <t>Settled</t>
        </is>
      </c>
      <c r="C77" s="21" t="inlineStr">
        <is>
          <t>Meta reaches the paying adult. Women 60.7%, largest band 35 to 44. That is the parent.</t>
        </is>
      </c>
    </row>
    <row r="78" ht="26" customHeight="1">
      <c r="B78" s="20" t="inlineStr">
        <is>
          <t>Settled</t>
        </is>
      </c>
      <c r="C78" s="21" t="inlineStr">
        <is>
          <t>TikTok reaches the student, not the buyer. 54% aged 18 to 24, 97% returning viewers. Treat it as demand creation, not as a sales channel.</t>
        </is>
      </c>
    </row>
    <row r="79" ht="26" customHeight="1">
      <c r="B79" s="22" t="inlineStr">
        <is>
          <t>Not settled</t>
        </is>
      </c>
      <c r="C79" s="21" t="inlineStr">
        <is>
          <t>Click to signup. The lead endpoint is not live, so nobody knows how many of the 491 clicks became a signup.</t>
        </is>
      </c>
    </row>
    <row r="80" ht="26" customHeight="1">
      <c r="B80" s="22" t="inlineStr">
        <is>
          <t>Not settled</t>
        </is>
      </c>
      <c r="C80" s="21" t="inlineStr">
        <is>
          <t>Signup to sale. GA4 has no purchase event, so no click has ever been tied to a payment.</t>
        </is>
      </c>
    </row>
    <row r="81" ht="26" customHeight="1">
      <c r="B81" s="22" t="inlineStr">
        <is>
          <t>Not settled</t>
        </is>
      </c>
      <c r="C81" s="21" t="inlineStr">
        <is>
          <t>Therefore cost per sale. It cannot be derived from anything held today. Measuring it is the entire purpose of this sprint.</t>
        </is>
      </c>
    </row>
  </sheetData>
  <mergeCells count="6">
    <mergeCell ref="C76:E76"/>
    <mergeCell ref="C80:E80"/>
    <mergeCell ref="C79:E79"/>
    <mergeCell ref="C78:E78"/>
    <mergeCell ref="C77:E77"/>
    <mergeCell ref="C81:E8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57"/>
  <sheetViews>
    <sheetView workbookViewId="0">
      <selection activeCell="A1" sqref="A1"/>
    </sheetView>
  </sheetViews>
  <sheetFormatPr baseColWidth="8" defaultRowHeight="15"/>
  <cols>
    <col width="3" customWidth="1" min="1" max="1"/>
    <col width="44" customWidth="1" min="2" max="2"/>
    <col width="16" customWidth="1" min="3" max="3"/>
    <col width="13" customWidth="1" min="4" max="4"/>
    <col width="62" customWidth="1" min="5" max="5"/>
  </cols>
  <sheetData>
    <row r="2" ht="27" customHeight="1">
      <c r="B2" s="1" t="inlineStr">
        <is>
          <t>SPRINT DRIVERS</t>
        </is>
      </c>
    </row>
    <row r="3" ht="13" customHeight="1">
      <c r="B3" s="2" t="inlineStr">
        <is>
          <t>Every assumption in one cell. Yellow cells are set by a person. Everything else calculates. Cost per sale is derived here, never assumed.</t>
        </is>
      </c>
    </row>
    <row r="5" ht="20" customHeight="1">
      <c r="B5" s="3" t="inlineStr">
        <is>
          <t>Sprint window</t>
        </is>
      </c>
      <c r="C5" s="4" t="n"/>
      <c r="D5" s="4" t="n"/>
      <c r="E5" s="4" t="n"/>
    </row>
    <row r="6" ht="26" customHeight="1">
      <c r="B6" s="11" t="inlineStr">
        <is>
          <t>Driver</t>
        </is>
      </c>
      <c r="C6" s="11" t="inlineStr">
        <is>
          <t>Value</t>
        </is>
      </c>
      <c r="D6" s="11" t="inlineStr"/>
      <c r="E6" s="11" t="inlineStr">
        <is>
          <t>Source or note</t>
        </is>
      </c>
    </row>
    <row r="7">
      <c r="B7" s="6" t="inlineStr">
        <is>
          <t>Sprint start</t>
        </is>
      </c>
      <c r="C7" s="34" t="n">
        <v>46258</v>
      </c>
      <c r="E7" s="2" t="inlineStr">
        <is>
          <t>Monday. First full week after the 21 Aug data pull.</t>
        </is>
      </c>
    </row>
    <row r="8">
      <c r="B8" s="6" t="inlineStr">
        <is>
          <t>Sprint end</t>
        </is>
      </c>
      <c r="C8" s="34" t="n">
        <v>46271</v>
      </c>
      <c r="E8" s="2" t="inlineStr">
        <is>
          <t>Sunday. Two complete weeks.</t>
        </is>
      </c>
    </row>
    <row r="9">
      <c r="B9" s="6" t="inlineStr">
        <is>
          <t>Days in sprint</t>
        </is>
      </c>
      <c r="C9" s="24">
        <f>'03_Sprint_Drivers'!$C$8-'03_Sprint_Drivers'!$C$7+1</f>
        <v/>
      </c>
      <c r="E9" s="2" t="inlineStr">
        <is>
          <t>Calculated.</t>
        </is>
      </c>
    </row>
    <row r="11" ht="20" customHeight="1">
      <c r="B11" s="3" t="inlineStr">
        <is>
          <t>What is being risked, and what it has to prove</t>
        </is>
      </c>
      <c r="C11" s="4" t="n"/>
      <c r="D11" s="4" t="n"/>
      <c r="E11" s="4" t="n"/>
    </row>
    <row r="12" ht="26" customHeight="1">
      <c r="B12" s="11" t="inlineStr">
        <is>
          <t>Driver</t>
        </is>
      </c>
      <c r="C12" s="11" t="inlineStr">
        <is>
          <t>Value</t>
        </is>
      </c>
      <c r="D12" s="11" t="inlineStr"/>
      <c r="E12" s="11" t="inlineStr">
        <is>
          <t>Source or note</t>
        </is>
      </c>
    </row>
    <row r="13">
      <c r="B13" s="6" t="inlineStr">
        <is>
          <t>Sprint media cap, GE1 paid (R)</t>
        </is>
      </c>
      <c r="C13" s="35" t="n">
        <v>10000</v>
      </c>
      <c r="E13" s="2" t="inlineStr">
        <is>
          <t>Agreed 21 Aug: R5 000 a week across both weeks. Sits inside the R250 000 of paid media the v4 plan already carries rather than adding to it.</t>
        </is>
      </c>
    </row>
    <row r="14">
      <c r="B14" s="6" t="inlineStr">
        <is>
          <t>Qualifying sales target</t>
        </is>
      </c>
      <c r="C14" s="26" t="n">
        <v>61</v>
      </c>
      <c r="E14" s="2" t="inlineStr">
        <is>
          <t>Agreed 21 Aug. What R10 000 returns if click to sale is 2%, which is the hypothesis being tested. Hitting it confirms 2% and tells exco R2m buys about 12 100 sales, not 40 000.</t>
        </is>
      </c>
    </row>
    <row r="15">
      <c r="B15" s="6" t="inlineStr">
        <is>
          <t>Share of the target from GE1 paid</t>
        </is>
      </c>
      <c r="C15" s="27" t="n">
        <v>1</v>
      </c>
      <c r="E15" s="2" t="inlineStr">
        <is>
          <t>100% this sprint. The 61 is what the paid budget buys. School outreach carries no media spend and is setting its first baseline, so it is measured rather than targeted.</t>
        </is>
      </c>
    </row>
    <row r="16">
      <c r="B16" s="6" t="inlineStr">
        <is>
          <t>Share of the target from GE2 schools</t>
        </is>
      </c>
      <c r="C16" s="28">
        <f>1-'03_Sprint_Drivers'!$C$15</f>
        <v/>
      </c>
      <c r="E16" s="2" t="inlineStr">
        <is>
          <t>Calculated. Zero by design this sprint. GE2 sales are counted and reported, just not targeted.</t>
        </is>
      </c>
    </row>
    <row r="17">
      <c r="B17" s="6" t="inlineStr">
        <is>
          <t>GE1 sales target</t>
        </is>
      </c>
      <c r="C17" s="24">
        <f>ROUND('03_Sprint_Drivers'!$C$14*'03_Sprint_Drivers'!$C$15,0)</f>
        <v/>
      </c>
      <c r="E17" s="2" t="inlineStr">
        <is>
          <t>Calculated.</t>
        </is>
      </c>
    </row>
    <row r="18">
      <c r="B18" s="6" t="inlineStr">
        <is>
          <t>GE2 sales target</t>
        </is>
      </c>
      <c r="C18" s="24">
        <f>'03_Sprint_Drivers'!$C$14-'03_Sprint_Drivers'!$C$17</f>
        <v/>
      </c>
      <c r="E18" s="2" t="inlineStr">
        <is>
          <t>Calculated. Remainder, so the two always sum to the target.</t>
        </is>
      </c>
    </row>
    <row r="19">
      <c r="B19" s="6" t="inlineStr">
        <is>
          <t>Sales required per day</t>
        </is>
      </c>
      <c r="C19" s="29">
        <f>ROUND('03_Sprint_Drivers'!$C$14/'03_Sprint_Drivers'!$C$9,1)</f>
        <v/>
      </c>
      <c r="E19" s="2" t="inlineStr">
        <is>
          <t>Calculated.</t>
        </is>
      </c>
    </row>
    <row r="21" ht="20" customHeight="1">
      <c r="B21" s="3" t="inlineStr">
        <is>
          <t>What the real cost per click means for that target</t>
        </is>
      </c>
      <c r="C21" s="4" t="n"/>
      <c r="D21" s="4" t="n"/>
      <c r="E21" s="4" t="n"/>
    </row>
    <row r="22" ht="26" customHeight="1">
      <c r="B22" s="11" t="inlineStr">
        <is>
          <t>Driver</t>
        </is>
      </c>
      <c r="C22" s="11" t="inlineStr">
        <is>
          <t>Value</t>
        </is>
      </c>
      <c r="D22" s="11" t="inlineStr"/>
      <c r="E22" s="11" t="inlineStr">
        <is>
          <t>Source or note</t>
        </is>
      </c>
    </row>
    <row r="23">
      <c r="B23" s="6" t="inlineStr">
        <is>
          <t>Cost per link click</t>
        </is>
      </c>
      <c r="C23" s="17">
        <f>'02_Baselines'!$C$13</f>
        <v/>
      </c>
      <c r="E23" s="2" t="inlineStr">
        <is>
          <t>Real. From the July Meta boost on 02_Baselines. Not an estimate.</t>
        </is>
      </c>
    </row>
    <row r="24">
      <c r="B24" s="6" t="inlineStr">
        <is>
          <t>Clicks the cap buys at that rate</t>
        </is>
      </c>
      <c r="C24" s="24">
        <f>ROUND('03_Sprint_Drivers'!$C$13/'03_Sprint_Drivers'!$C$23,0)</f>
        <v/>
      </c>
      <c r="E24" s="2" t="inlineStr">
        <is>
          <t>Calculated.</t>
        </is>
      </c>
    </row>
    <row r="25">
      <c r="B25" s="6" t="inlineStr">
        <is>
          <t>Click to sale rate GE1 must achieve</t>
        </is>
      </c>
      <c r="C25" s="28">
        <f>IFERROR('03_Sprint_Drivers'!$C$17/'03_Sprint_Drivers'!$C$24,0)</f>
        <v/>
      </c>
      <c r="E25" s="2" t="inlineStr">
        <is>
          <t>Calculated. THE TEST. Nobody knows the real rate, because no click has ever been tied to a payment. For R2m to buy 40 000 this would have to reach 6.6% at today's cost per click.</t>
        </is>
      </c>
    </row>
    <row r="26">
      <c r="B26" s="6" t="inlineStr">
        <is>
          <t>Cost per sale this implies, GE1</t>
        </is>
      </c>
      <c r="C26" s="36">
        <f>IFERROR('03_Sprint_Drivers'!$C$13/'03_Sprint_Drivers'!$C$17,0)</f>
        <v/>
      </c>
      <c r="E26" s="2" t="inlineStr">
        <is>
          <t>Calculated from the cap and the target, not assumed. v4 sheet 09 sets R85 as the cost per free signup target.</t>
        </is>
      </c>
    </row>
    <row r="28" ht="20" customHeight="1">
      <c r="B28" s="3" t="inlineStr">
        <is>
          <t>What the cap buys at different click to sale rates</t>
        </is>
      </c>
      <c r="C28" s="4" t="n"/>
      <c r="D28" s="4" t="n"/>
      <c r="E28" s="4" t="n"/>
    </row>
    <row r="29" ht="26" customHeight="1">
      <c r="B29" s="11" t="inlineStr">
        <is>
          <t>If click to sale is</t>
        </is>
      </c>
      <c r="C29" s="11" t="inlineStr">
        <is>
          <t>Cost per sale becomes</t>
        </is>
      </c>
      <c r="D29" s="11" t="inlineStr">
        <is>
          <t>Sales the cap buys</t>
        </is>
      </c>
      <c r="E29" s="11" t="inlineStr"/>
    </row>
    <row r="30">
      <c r="B30" s="31" t="n">
        <v>0.005</v>
      </c>
      <c r="C30" s="36">
        <f>'03_Sprint_Drivers'!$C$23/B30</f>
        <v/>
      </c>
      <c r="D30" s="24">
        <f>ROUND('03_Sprint_Drivers'!$C$24*B30,0)</f>
        <v/>
      </c>
    </row>
    <row r="31">
      <c r="B31" s="31" t="n">
        <v>0.01</v>
      </c>
      <c r="C31" s="36">
        <f>'03_Sprint_Drivers'!$C$23/B31</f>
        <v/>
      </c>
      <c r="D31" s="24">
        <f>ROUND('03_Sprint_Drivers'!$C$24*B31,0)</f>
        <v/>
      </c>
    </row>
    <row r="32">
      <c r="B32" s="31" t="n">
        <v>0.02</v>
      </c>
      <c r="C32" s="36">
        <f>'03_Sprint_Drivers'!$C$23/B32</f>
        <v/>
      </c>
      <c r="D32" s="24">
        <f>ROUND('03_Sprint_Drivers'!$C$24*B32,0)</f>
        <v/>
      </c>
    </row>
    <row r="33">
      <c r="B33" s="31" t="n">
        <v>0.04</v>
      </c>
      <c r="C33" s="36">
        <f>'03_Sprint_Drivers'!$C$23/B33</f>
        <v/>
      </c>
      <c r="D33" s="24">
        <f>ROUND('03_Sprint_Drivers'!$C$24*B33,0)</f>
        <v/>
      </c>
    </row>
    <row r="34">
      <c r="B34" s="31" t="n">
        <v>0.08</v>
      </c>
      <c r="C34" s="36">
        <f>'03_Sprint_Drivers'!$C$23/B34</f>
        <v/>
      </c>
      <c r="D34" s="24">
        <f>ROUND('03_Sprint_Drivers'!$C$24*B34,0)</f>
        <v/>
      </c>
    </row>
    <row r="35">
      <c r="B35" s="2" t="inlineStr">
        <is>
          <t>Read this against the target above. It is the whole commercial question in five rows.</t>
        </is>
      </c>
    </row>
    <row r="37" ht="20" customHeight="1">
      <c r="B37" s="3" t="inlineStr">
        <is>
          <t>Against the full campaign</t>
        </is>
      </c>
      <c r="C37" s="4" t="n"/>
      <c r="D37" s="4" t="n"/>
      <c r="E37" s="4" t="n"/>
    </row>
    <row r="38" ht="26" customHeight="1">
      <c r="B38" s="11" t="inlineStr">
        <is>
          <t>Driver</t>
        </is>
      </c>
      <c r="C38" s="11" t="inlineStr">
        <is>
          <t>Value</t>
        </is>
      </c>
      <c r="D38" s="11" t="inlineStr"/>
      <c r="E38" s="11" t="inlineStr">
        <is>
          <t>Source or note</t>
        </is>
      </c>
    </row>
    <row r="39">
      <c r="B39" s="6" t="inlineStr">
        <is>
          <t>Full campaign target</t>
        </is>
      </c>
      <c r="C39" s="26" t="n">
        <v>40000</v>
      </c>
      <c r="E39" s="2" t="inlineStr">
        <is>
          <t>Campaign brief. Paid transactions by 30 Nov 2026.</t>
        </is>
      </c>
    </row>
    <row r="40">
      <c r="B40" s="6" t="inlineStr">
        <is>
          <t>Weeks from sprint start to deadline</t>
        </is>
      </c>
      <c r="C40" s="26" t="n">
        <v>15</v>
      </c>
      <c r="E40" s="2" t="inlineStr">
        <is>
          <t>24 Aug to 30 Nov 2026.</t>
        </is>
      </c>
    </row>
    <row r="41">
      <c r="B41" s="6" t="inlineStr">
        <is>
          <t>Required pace per week</t>
        </is>
      </c>
      <c r="C41" s="24">
        <f>ROUND('03_Sprint_Drivers'!$C$39/'03_Sprint_Drivers'!$C$40,0)</f>
        <v/>
      </c>
      <c r="E41" s="2" t="inlineStr">
        <is>
          <t>Calculated.</t>
        </is>
      </c>
    </row>
    <row r="42">
      <c r="B42" s="6" t="inlineStr">
        <is>
          <t>Required sales in a 14 day window</t>
        </is>
      </c>
      <c r="C42" s="24">
        <f>'03_Sprint_Drivers'!$C$41*2</f>
        <v/>
      </c>
      <c r="E42" s="2" t="inlineStr">
        <is>
          <t>Calculated. What full pace looks like over this sprint.</t>
        </is>
      </c>
    </row>
    <row r="43">
      <c r="B43" s="6" t="inlineStr">
        <is>
          <t>This sprint as a share of full pace</t>
        </is>
      </c>
      <c r="C43" s="28">
        <f>IFERROR('03_Sprint_Drivers'!$C$14/'03_Sprint_Drivers'!$C$42,0)</f>
        <v/>
      </c>
      <c r="E43" s="2" t="inlineStr">
        <is>
          <t>Calculated. How far the qualifying target sits below full pace.</t>
        </is>
      </c>
    </row>
    <row r="45" ht="20" customHeight="1">
      <c r="B45" s="3" t="inlineStr">
        <is>
          <t>How a sale is counted in this sprint</t>
        </is>
      </c>
      <c r="C45" s="4" t="n"/>
      <c r="D45" s="4" t="n"/>
      <c r="E45" s="4" t="n"/>
    </row>
    <row r="46" ht="26" customHeight="1">
      <c r="B46" s="5" t="inlineStr">
        <is>
          <t>Primary source</t>
        </is>
      </c>
      <c r="C46" s="21" t="inlineStr">
        <is>
          <t>An automated feed of cleared Peach transactions, delivered by Gradesmatch tech. This is a tech function. Nobody on the growth team has capacity to reconcile by hand every day.</t>
        </is>
      </c>
    </row>
    <row r="47" ht="26" customHeight="1">
      <c r="B47" s="5" t="inlineStr">
        <is>
          <t>Attribution to engine</t>
        </is>
      </c>
      <c r="C47" s="21" t="inlineStr">
        <is>
          <t>By the UTM on the link the buyer arrived through, registered in 09_UTM_Register. A sale with no UTM is logged as unattributed.</t>
        </is>
      </c>
    </row>
    <row r="48" ht="26" customHeight="1">
      <c r="B48" s="5" t="inlineStr">
        <is>
          <t>GA4</t>
        </is>
      </c>
      <c r="C48" s="21" t="inlineStr">
        <is>
          <t>Cannot attribute a sale until the purchase event is installed. In this sprint GA4 is used for traffic and page progression only.</t>
        </is>
      </c>
    </row>
    <row r="49" ht="26" customHeight="1">
      <c r="B49" s="5" t="inlineStr">
        <is>
          <t>Deduplication</t>
        </is>
      </c>
      <c r="C49" s="21" t="inlineStr">
        <is>
          <t>On transaction_id. A transaction_id already in the ledger is not counted twice.</t>
        </is>
      </c>
    </row>
    <row r="50" ht="26" customHeight="1">
      <c r="B50" s="5" t="inlineStr">
        <is>
          <t>Cut off</t>
        </is>
      </c>
      <c r="C50" s="21" t="inlineStr">
        <is>
          <t>23:59 each day. A payment clearing after cut off is logged against the following day.</t>
        </is>
      </c>
    </row>
    <row r="52" ht="20" customHeight="1">
      <c r="B52" s="3" t="inlineStr">
        <is>
          <t>Blocked on Gradesmatch dev at the time of writing</t>
        </is>
      </c>
      <c r="C52" s="4" t="n"/>
      <c r="D52" s="4" t="n"/>
      <c r="E52" s="4" t="n"/>
    </row>
    <row r="53" ht="26" customHeight="1">
      <c r="B53" s="11" t="inlineStr">
        <is>
          <t>Item</t>
        </is>
      </c>
      <c r="C53" s="11" t="inlineStr">
        <is>
          <t>Needed by</t>
        </is>
      </c>
      <c r="D53" s="11" t="inlineStr"/>
      <c r="E53" s="11" t="inlineStr">
        <is>
          <t>Effect on this sprint if it does not land</t>
        </is>
      </c>
    </row>
    <row r="54" ht="26" customHeight="1">
      <c r="B54" s="32" t="inlineStr">
        <is>
          <t>GA4 purchase event with value</t>
        </is>
      </c>
      <c r="C54" s="10" t="inlineStr">
        <is>
          <t>Day 1, 24 Aug</t>
        </is>
      </c>
      <c r="E54" s="33" t="inlineStr">
        <is>
          <t>Without this OR the transaction feed below, no sale can be recorded at all and the sprint measures nothing. With the feed but not this, sales are counted but cannot be split by channel.</t>
        </is>
      </c>
    </row>
    <row r="55" ht="26" customHeight="1">
      <c r="B55" s="32" t="inlineStr">
        <is>
          <t>Landing page live on bridgeapp.co.za</t>
        </is>
      </c>
      <c r="C55" s="10" t="inlineStr">
        <is>
          <t>Day 1, 24 Aug</t>
        </is>
      </c>
      <c r="E55" s="33" t="inlineStr">
        <is>
          <t>Paid traffic has no dedicated destination and converts lower. Change the URL on every row of 09_UTM_Register before spending.</t>
        </is>
      </c>
    </row>
    <row r="56" ht="26" customHeight="1">
      <c r="B56" s="32" t="inlineStr">
        <is>
          <t>Lead endpoint (window.BRIDGEAPP_LEAD_ENDPOINT)</t>
        </is>
      </c>
      <c r="C56" s="10" t="inlineStr">
        <is>
          <t>Day 1, 24 Aug</t>
        </is>
      </c>
      <c r="E56" s="33" t="inlineStr">
        <is>
          <t>Readiness tracker submissions are not captured, so click to signup stays unmeasured and only click to sale can be read.</t>
        </is>
      </c>
    </row>
    <row r="57" ht="26" customHeight="1">
      <c r="B57" s="32" t="inlineStr">
        <is>
          <t>Automated feed of cleared Peach transactions</t>
        </is>
      </c>
      <c r="C57" s="10" t="inlineStr">
        <is>
          <t>Day 1, 24 Aug</t>
        </is>
      </c>
      <c r="E57" s="33" t="inlineStr">
        <is>
          <t>The manual reconciliation this replaces is no longer resourced. Without this or the purchase event there is no way to count a sale.</t>
        </is>
      </c>
    </row>
  </sheetData>
  <mergeCells count="5">
    <mergeCell ref="C50:E50"/>
    <mergeCell ref="C49:E49"/>
    <mergeCell ref="C48:E48"/>
    <mergeCell ref="C46:E46"/>
    <mergeCell ref="C47:E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50"/>
  <sheetViews>
    <sheetView workbookViewId="0">
      <selection activeCell="A1" sqref="A1"/>
    </sheetView>
  </sheetViews>
  <sheetFormatPr baseColWidth="8" defaultRowHeight="15"/>
  <cols>
    <col width="3" customWidth="1" min="1" max="1"/>
    <col width="6" customWidth="1" min="2" max="2"/>
    <col width="14" customWidth="1" min="3" max="3"/>
    <col width="9" customWidth="1" min="4" max="4"/>
    <col width="50" customWidth="1" min="5" max="5"/>
    <col width="22" customWidth="1" min="6" max="6"/>
    <col width="13" customWidth="1" min="7" max="7"/>
    <col width="12" customWidth="1" min="8" max="8"/>
    <col width="16" customWidth="1" min="9" max="9"/>
  </cols>
  <sheetData>
    <row r="2" ht="27" customHeight="1">
      <c r="B2" s="1" t="inlineStr">
        <is>
          <t>SPRINT PLAN: 14 DAYS</t>
        </is>
      </c>
    </row>
    <row r="3" ht="13" customHeight="1">
      <c r="B3" s="2" t="inlineStr">
        <is>
          <t>Every commitment in the window. GE3 rows are carried from the Phase 2 calendar; they consume team time but carry no sales target in this sprint.</t>
        </is>
      </c>
    </row>
    <row r="5" ht="20" customHeight="1">
      <c r="B5" s="3" t="inlineStr">
        <is>
          <t>Mon 24 Aug to Sun 6 Sep 2026</t>
        </is>
      </c>
      <c r="C5" s="4" t="n"/>
      <c r="D5" s="4" t="n"/>
      <c r="E5" s="4" t="n"/>
      <c r="F5" s="4" t="n"/>
      <c r="G5" s="4" t="n"/>
      <c r="H5" s="4" t="n"/>
      <c r="I5" s="4" t="n"/>
    </row>
    <row r="6" ht="26" customHeight="1">
      <c r="B6" s="11" t="inlineStr">
        <is>
          <t>Day</t>
        </is>
      </c>
      <c r="C6" s="11" t="inlineStr">
        <is>
          <t>Date</t>
        </is>
      </c>
      <c r="D6" s="11" t="inlineStr">
        <is>
          <t>GE</t>
        </is>
      </c>
      <c r="E6" s="11" t="inlineStr">
        <is>
          <t>Deliverable</t>
        </is>
      </c>
      <c r="F6" s="11" t="inlineStr">
        <is>
          <t>Owner</t>
        </is>
      </c>
      <c r="G6" s="11" t="inlineStr">
        <is>
          <t>Due</t>
        </is>
      </c>
      <c r="H6" s="11" t="inlineStr">
        <is>
          <t>Status</t>
        </is>
      </c>
      <c r="I6" s="11" t="inlineStr">
        <is>
          <t>Source</t>
        </is>
      </c>
    </row>
    <row r="7">
      <c r="B7" s="37" t="n">
        <v>1</v>
      </c>
      <c r="C7" s="38" t="n">
        <v>46258</v>
      </c>
      <c r="D7" s="39" t="inlineStr">
        <is>
          <t>ALL</t>
        </is>
      </c>
      <c r="E7" s="6" t="inlineStr">
        <is>
          <t>Sprint drivers locked and signed off</t>
        </is>
      </c>
      <c r="F7" s="6" t="inlineStr">
        <is>
          <t>Campaign Lead</t>
        </is>
      </c>
      <c r="G7" s="13" t="inlineStr">
        <is>
          <t>24 Aug</t>
        </is>
      </c>
      <c r="H7" s="40" t="inlineStr">
        <is>
          <t>PLANNED</t>
        </is>
      </c>
      <c r="I7" s="2" t="inlineStr">
        <is>
          <t>Sprint</t>
        </is>
      </c>
    </row>
    <row r="8">
      <c r="B8" s="37" t="n">
        <v>1</v>
      </c>
      <c r="D8" s="39" t="inlineStr">
        <is>
          <t>ALL</t>
        </is>
      </c>
      <c r="E8" s="6" t="inlineStr">
        <is>
          <t>Every role in 01_Owners has a named person</t>
        </is>
      </c>
      <c r="F8" s="6" t="inlineStr">
        <is>
          <t>Campaign Lead</t>
        </is>
      </c>
      <c r="G8" s="13" t="inlineStr">
        <is>
          <t>24 Aug</t>
        </is>
      </c>
      <c r="H8" s="40" t="inlineStr">
        <is>
          <t>PLANNED</t>
        </is>
      </c>
      <c r="I8" s="2" t="inlineStr">
        <is>
          <t>Sprint</t>
        </is>
      </c>
    </row>
    <row r="9">
      <c r="B9" s="37" t="n">
        <v>1</v>
      </c>
      <c r="D9" s="41" t="inlineStr">
        <is>
          <t>GE1</t>
        </is>
      </c>
      <c r="E9" s="6" t="inlineStr">
        <is>
          <t>09_UTM_Register complete. No link goes live untagged</t>
        </is>
      </c>
      <c r="F9" s="6" t="inlineStr">
        <is>
          <t>Performance Marketer</t>
        </is>
      </c>
      <c r="G9" s="13" t="inlineStr">
        <is>
          <t>24 Aug</t>
        </is>
      </c>
      <c r="H9" s="40" t="inlineStr">
        <is>
          <t>PLANNED</t>
        </is>
      </c>
      <c r="I9" s="2" t="inlineStr">
        <is>
          <t>Sprint</t>
        </is>
      </c>
    </row>
    <row r="10">
      <c r="B10" s="37" t="n">
        <v>1</v>
      </c>
      <c r="D10" s="39" t="inlineStr">
        <is>
          <t>ALL</t>
        </is>
      </c>
      <c r="E10" s="6" t="inlineStr">
        <is>
          <t>Baseline: closing sales count recorded in 05_Daily_Log</t>
        </is>
      </c>
      <c r="F10" s="6" t="inlineStr">
        <is>
          <t>Campaign Lead</t>
        </is>
      </c>
      <c r="G10" s="13" t="inlineStr">
        <is>
          <t>24 Aug</t>
        </is>
      </c>
      <c r="H10" s="40" t="inlineStr">
        <is>
          <t>PLANNED</t>
        </is>
      </c>
      <c r="I10" s="22" t="inlineStr">
        <is>
          <t>Blocked: dev</t>
        </is>
      </c>
    </row>
    <row r="11">
      <c r="B11" s="37" t="n">
        <v>1</v>
      </c>
      <c r="D11" s="41" t="inlineStr">
        <is>
          <t>GE1</t>
        </is>
      </c>
      <c r="E11" s="6" t="inlineStr">
        <is>
          <t>Paid buy live on Meta against the sprint cap</t>
        </is>
      </c>
      <c r="F11" s="6" t="inlineStr">
        <is>
          <t>Performance Marketer</t>
        </is>
      </c>
      <c r="G11" s="13" t="inlineStr">
        <is>
          <t>24 Aug</t>
        </is>
      </c>
      <c r="H11" s="40" t="inlineStr">
        <is>
          <t>PLANNED</t>
        </is>
      </c>
      <c r="I11" s="2" t="inlineStr">
        <is>
          <t>Sprint</t>
        </is>
      </c>
    </row>
    <row r="12">
      <c r="B12" s="37" t="n">
        <v>1</v>
      </c>
      <c r="D12" s="42" t="inlineStr">
        <is>
          <t>GE2</t>
        </is>
      </c>
      <c r="E12" s="6" t="inlineStr">
        <is>
          <t>Week 1 visit schedule confirmed with each school</t>
        </is>
      </c>
      <c r="F12" s="6" t="inlineStr">
        <is>
          <t>Schools Coordinator</t>
        </is>
      </c>
      <c r="G12" s="13" t="inlineStr">
        <is>
          <t>24 Aug</t>
        </is>
      </c>
      <c r="H12" s="40" t="inlineStr">
        <is>
          <t>PLANNED</t>
        </is>
      </c>
      <c r="I12" s="2" t="inlineStr">
        <is>
          <t>Sprint</t>
        </is>
      </c>
    </row>
    <row r="13">
      <c r="B13" s="37" t="n">
        <v>1</v>
      </c>
      <c r="D13" s="39" t="inlineStr">
        <is>
          <t>ALL</t>
        </is>
      </c>
      <c r="E13" s="6" t="inlineStr">
        <is>
          <t>Escalation sent to Gradesmatch dev on the three blocked items</t>
        </is>
      </c>
      <c r="F13" s="6" t="inlineStr">
        <is>
          <t>Campaign Lead</t>
        </is>
      </c>
      <c r="G13" s="13" t="inlineStr">
        <is>
          <t>24 Aug</t>
        </is>
      </c>
      <c r="H13" s="40" t="inlineStr">
        <is>
          <t>PLANNED</t>
        </is>
      </c>
      <c r="I13" s="22" t="inlineStr">
        <is>
          <t>Blocked: dev</t>
        </is>
      </c>
    </row>
    <row r="14">
      <c r="B14" s="37" t="n">
        <v>2</v>
      </c>
      <c r="C14" s="38" t="n">
        <v>46259</v>
      </c>
      <c r="D14" s="41" t="inlineStr">
        <is>
          <t>GE1</t>
        </is>
      </c>
      <c r="E14" s="6" t="inlineStr">
        <is>
          <t>First 24 hour read. Pull any creative below the CTR floor</t>
        </is>
      </c>
      <c r="F14" s="6" t="inlineStr">
        <is>
          <t>Performance Marketer</t>
        </is>
      </c>
      <c r="G14" s="13" t="inlineStr">
        <is>
          <t>25 Aug</t>
        </is>
      </c>
      <c r="H14" s="40" t="inlineStr">
        <is>
          <t>PLANNED</t>
        </is>
      </c>
      <c r="I14" s="2" t="inlineStr">
        <is>
          <t>Sprint</t>
        </is>
      </c>
    </row>
    <row r="15">
      <c r="B15" s="37" t="n">
        <v>2</v>
      </c>
      <c r="D15" s="42" t="inlineStr">
        <is>
          <t>GE2</t>
        </is>
      </c>
      <c r="E15" s="6" t="inlineStr">
        <is>
          <t>School visits 1 and 2</t>
        </is>
      </c>
      <c r="F15" s="6" t="inlineStr">
        <is>
          <t>Schools Coordinator</t>
        </is>
      </c>
      <c r="G15" s="13" t="inlineStr">
        <is>
          <t>25 Aug</t>
        </is>
      </c>
      <c r="H15" s="40" t="inlineStr">
        <is>
          <t>PLANNED</t>
        </is>
      </c>
      <c r="I15" s="2" t="inlineStr">
        <is>
          <t>Sprint</t>
        </is>
      </c>
    </row>
    <row r="16">
      <c r="B16" s="37" t="n">
        <v>2</v>
      </c>
      <c r="D16" s="41" t="inlineStr">
        <is>
          <t>GE1</t>
        </is>
      </c>
      <c r="E16" s="6" t="inlineStr">
        <is>
          <t>FC 25K Push continues, paid and organic</t>
        </is>
      </c>
      <c r="F16" s="6" t="inlineStr">
        <is>
          <t>Performance Marketer</t>
        </is>
      </c>
      <c r="G16" s="13" t="inlineStr">
        <is>
          <t>Continuous</t>
        </is>
      </c>
      <c r="H16" s="40" t="inlineStr">
        <is>
          <t>PLANNED</t>
        </is>
      </c>
      <c r="I16" s="2" t="inlineStr">
        <is>
          <t>v4 Calendar</t>
        </is>
      </c>
    </row>
    <row r="17">
      <c r="B17" s="37" t="n">
        <v>3</v>
      </c>
      <c r="C17" s="38" t="n">
        <v>46260</v>
      </c>
      <c r="D17" s="42" t="inlineStr">
        <is>
          <t>GE2</t>
        </is>
      </c>
      <c r="E17" s="6" t="inlineStr">
        <is>
          <t>School visits 3 and 4</t>
        </is>
      </c>
      <c r="F17" s="6" t="inlineStr">
        <is>
          <t>Schools Coordinator</t>
        </is>
      </c>
      <c r="G17" s="13" t="inlineStr">
        <is>
          <t>26 Aug</t>
        </is>
      </c>
      <c r="H17" s="40" t="inlineStr">
        <is>
          <t>PLANNED</t>
        </is>
      </c>
      <c r="I17" s="2" t="inlineStr">
        <is>
          <t>Sprint</t>
        </is>
      </c>
    </row>
    <row r="18">
      <c r="B18" s="37" t="n">
        <v>3</v>
      </c>
      <c r="D18" s="41" t="inlineStr">
        <is>
          <t>GE1</t>
        </is>
      </c>
      <c r="E18" s="6" t="inlineStr">
        <is>
          <t>Creative variant set 2 live</t>
        </is>
      </c>
      <c r="F18" s="6" t="inlineStr">
        <is>
          <t>Designer</t>
        </is>
      </c>
      <c r="G18" s="13" t="inlineStr">
        <is>
          <t>26 Aug</t>
        </is>
      </c>
      <c r="H18" s="40" t="inlineStr">
        <is>
          <t>PLANNED</t>
        </is>
      </c>
      <c r="I18" s="2" t="inlineStr">
        <is>
          <t>Sprint</t>
        </is>
      </c>
    </row>
    <row r="19">
      <c r="B19" s="37" t="n">
        <v>3</v>
      </c>
      <c r="D19" s="43" t="inlineStr">
        <is>
          <t>GE3</t>
        </is>
      </c>
      <c r="E19" s="6" t="inlineStr">
        <is>
          <t>BMW Golf Clinic invitee list sent</t>
        </is>
      </c>
      <c r="F19" s="6" t="inlineStr">
        <is>
          <t>Strategy Lead</t>
        </is>
      </c>
      <c r="G19" s="13" t="inlineStr">
        <is>
          <t>26 Aug</t>
        </is>
      </c>
      <c r="H19" s="40" t="inlineStr">
        <is>
          <t>PLANNED</t>
        </is>
      </c>
      <c r="I19" s="2" t="inlineStr">
        <is>
          <t>v4 Calendar</t>
        </is>
      </c>
    </row>
    <row r="20">
      <c r="B20" s="37" t="n">
        <v>4</v>
      </c>
      <c r="C20" s="38" t="n">
        <v>46261</v>
      </c>
      <c r="D20" s="41" t="inlineStr">
        <is>
          <t>GE1</t>
        </is>
      </c>
      <c r="E20" s="6" t="inlineStr">
        <is>
          <t>UniApply matric urgency push live</t>
        </is>
      </c>
      <c r="F20" s="6" t="inlineStr">
        <is>
          <t>Performance Marketer</t>
        </is>
      </c>
      <c r="G20" s="13" t="inlineStr">
        <is>
          <t>27 Aug</t>
        </is>
      </c>
      <c r="H20" s="40" t="inlineStr">
        <is>
          <t>PLANNED</t>
        </is>
      </c>
      <c r="I20" s="2" t="inlineStr">
        <is>
          <t>v4 Calendar</t>
        </is>
      </c>
    </row>
    <row r="21">
      <c r="B21" s="37" t="n">
        <v>4</v>
      </c>
      <c r="D21" s="42" t="inlineStr">
        <is>
          <t>GE2</t>
        </is>
      </c>
      <c r="E21" s="6" t="inlineStr">
        <is>
          <t>School visits 5 and 6</t>
        </is>
      </c>
      <c r="F21" s="6" t="inlineStr">
        <is>
          <t>Schools Coordinator</t>
        </is>
      </c>
      <c r="G21" s="13" t="inlineStr">
        <is>
          <t>27 Aug</t>
        </is>
      </c>
      <c r="H21" s="40" t="inlineStr">
        <is>
          <t>PLANNED</t>
        </is>
      </c>
      <c r="I21" s="2" t="inlineStr">
        <is>
          <t>Sprint</t>
        </is>
      </c>
    </row>
    <row r="22">
      <c r="B22" s="37" t="n">
        <v>4</v>
      </c>
      <c r="D22" s="39" t="inlineStr">
        <is>
          <t>ALL</t>
        </is>
      </c>
      <c r="E22" s="6" t="inlineStr">
        <is>
          <t>Mid week check that the Peach feed is landing</t>
        </is>
      </c>
      <c r="F22" s="6" t="inlineStr">
        <is>
          <t>Campaign Lead</t>
        </is>
      </c>
      <c r="G22" s="13" t="inlineStr">
        <is>
          <t>27 Aug</t>
        </is>
      </c>
      <c r="H22" s="40" t="inlineStr">
        <is>
          <t>PLANNED</t>
        </is>
      </c>
      <c r="I22" s="2" t="inlineStr">
        <is>
          <t>Sprint</t>
        </is>
      </c>
    </row>
    <row r="23">
      <c r="B23" s="37" t="n">
        <v>5</v>
      </c>
      <c r="C23" s="38" t="n">
        <v>46262</v>
      </c>
      <c r="D23" s="41" t="inlineStr">
        <is>
          <t>GE1</t>
        </is>
      </c>
      <c r="E23" s="6" t="inlineStr">
        <is>
          <t>Influencer Wave 3, GP creator, content live</t>
        </is>
      </c>
      <c r="F23" s="6" t="inlineStr">
        <is>
          <t>Creator Manager</t>
        </is>
      </c>
      <c r="G23" s="13" t="inlineStr">
        <is>
          <t>28 Aug</t>
        </is>
      </c>
      <c r="H23" s="40" t="inlineStr">
        <is>
          <t>PLANNED</t>
        </is>
      </c>
      <c r="I23" s="2" t="inlineStr">
        <is>
          <t>v4 Calendar</t>
        </is>
      </c>
    </row>
    <row r="24">
      <c r="B24" s="37" t="n">
        <v>5</v>
      </c>
      <c r="D24" s="42" t="inlineStr">
        <is>
          <t>GE2</t>
        </is>
      </c>
      <c r="E24" s="6" t="inlineStr">
        <is>
          <t>Week 1 visit results logged in 08_School_Visits</t>
        </is>
      </c>
      <c r="F24" s="6" t="inlineStr">
        <is>
          <t>Schools Coordinator</t>
        </is>
      </c>
      <c r="G24" s="13" t="inlineStr">
        <is>
          <t>28 Aug</t>
        </is>
      </c>
      <c r="H24" s="40" t="inlineStr">
        <is>
          <t>PLANNED</t>
        </is>
      </c>
      <c r="I24" s="2" t="inlineStr">
        <is>
          <t>Sprint</t>
        </is>
      </c>
    </row>
    <row r="25">
      <c r="B25" s="37" t="n">
        <v>5</v>
      </c>
      <c r="D25" s="39" t="inlineStr">
        <is>
          <t>ALL</t>
        </is>
      </c>
      <c r="E25" s="6" t="inlineStr">
        <is>
          <t>Week 1 working book updated</t>
        </is>
      </c>
      <c r="F25" s="6" t="inlineStr">
        <is>
          <t>Campaign Lead</t>
        </is>
      </c>
      <c r="G25" s="13" t="inlineStr">
        <is>
          <t>28 Aug</t>
        </is>
      </c>
      <c r="H25" s="40" t="inlineStr">
        <is>
          <t>PLANNED</t>
        </is>
      </c>
      <c r="I25" s="2" t="inlineStr">
        <is>
          <t>Sprint</t>
        </is>
      </c>
    </row>
    <row r="26">
      <c r="B26" s="37" t="n">
        <v>5</v>
      </c>
      <c r="D26" s="43" t="inlineStr">
        <is>
          <t>GE3</t>
        </is>
      </c>
      <c r="E26" s="6" t="inlineStr">
        <is>
          <t>Podcast pilot episode format lock</t>
        </is>
      </c>
      <c r="F26" s="6" t="inlineStr">
        <is>
          <t>Content Producer</t>
        </is>
      </c>
      <c r="G26" s="13" t="inlineStr">
        <is>
          <t>28 Aug</t>
        </is>
      </c>
      <c r="H26" s="40" t="inlineStr">
        <is>
          <t>PLANNED</t>
        </is>
      </c>
      <c r="I26" s="2" t="inlineStr">
        <is>
          <t>v4 Calendar</t>
        </is>
      </c>
    </row>
    <row r="27">
      <c r="B27" s="37" t="n">
        <v>6</v>
      </c>
      <c r="C27" s="38" t="n">
        <v>46263</v>
      </c>
      <c r="D27" s="41" t="inlineStr">
        <is>
          <t>GE1</t>
        </is>
      </c>
      <c r="E27" s="6" t="inlineStr">
        <is>
          <t>Weekend spend read. No new creative</t>
        </is>
      </c>
      <c r="F27" s="6" t="inlineStr">
        <is>
          <t>Performance Marketer</t>
        </is>
      </c>
      <c r="G27" s="13" t="inlineStr">
        <is>
          <t>29 Aug</t>
        </is>
      </c>
      <c r="H27" s="40" t="inlineStr">
        <is>
          <t>PLANNED</t>
        </is>
      </c>
      <c r="I27" s="2" t="inlineStr">
        <is>
          <t>Sprint</t>
        </is>
      </c>
    </row>
    <row r="28">
      <c r="B28" s="37" t="n">
        <v>6</v>
      </c>
      <c r="D28" s="41" t="inlineStr">
        <is>
          <t>GE1</t>
        </is>
      </c>
      <c r="E28" s="6" t="inlineStr">
        <is>
          <t>Organic conversion post, both channels</t>
        </is>
      </c>
      <c r="F28" s="6" t="inlineStr">
        <is>
          <t>Content Producer</t>
        </is>
      </c>
      <c r="G28" s="13" t="inlineStr">
        <is>
          <t>29 Aug</t>
        </is>
      </c>
      <c r="H28" s="40" t="inlineStr">
        <is>
          <t>PLANNED</t>
        </is>
      </c>
      <c r="I28" s="2" t="inlineStr">
        <is>
          <t>Sprint</t>
        </is>
      </c>
    </row>
    <row r="29">
      <c r="B29" s="37" t="n">
        <v>7</v>
      </c>
      <c r="C29" s="38" t="n">
        <v>46264</v>
      </c>
      <c r="D29" s="41" t="inlineStr">
        <is>
          <t>GE1</t>
        </is>
      </c>
      <c r="E29" s="6" t="inlineStr">
        <is>
          <t>Week 1 close. Cost per sale for week 1 computed</t>
        </is>
      </c>
      <c r="F29" s="6" t="inlineStr">
        <is>
          <t>Performance Marketer</t>
        </is>
      </c>
      <c r="G29" s="13" t="inlineStr">
        <is>
          <t>30 Aug</t>
        </is>
      </c>
      <c r="H29" s="40" t="inlineStr">
        <is>
          <t>PLANNED</t>
        </is>
      </c>
      <c r="I29" s="2" t="inlineStr">
        <is>
          <t>Sprint</t>
        </is>
      </c>
    </row>
    <row r="30">
      <c r="B30" s="37" t="n">
        <v>8</v>
      </c>
      <c r="C30" s="38" t="n">
        <v>46265</v>
      </c>
      <c r="D30" s="39" t="inlineStr">
        <is>
          <t>ALL</t>
        </is>
      </c>
      <c r="E30" s="6" t="inlineStr">
        <is>
          <t>Week 1 review at stand up. 10_KPIs read before anything else</t>
        </is>
      </c>
      <c r="F30" s="6" t="inlineStr">
        <is>
          <t>Campaign Lead</t>
        </is>
      </c>
      <c r="G30" s="13" t="inlineStr">
        <is>
          <t>31 Aug</t>
        </is>
      </c>
      <c r="H30" s="40" t="inlineStr">
        <is>
          <t>PLANNED</t>
        </is>
      </c>
      <c r="I30" s="2" t="inlineStr">
        <is>
          <t>Sprint</t>
        </is>
      </c>
    </row>
    <row r="31">
      <c r="B31" s="37" t="n">
        <v>8</v>
      </c>
      <c r="D31" s="41" t="inlineStr">
        <is>
          <t>GE1</t>
        </is>
      </c>
      <c r="E31" s="6" t="inlineStr">
        <is>
          <t>Reallocate spend across channels, inside the cap</t>
        </is>
      </c>
      <c r="F31" s="6" t="inlineStr">
        <is>
          <t>Performance Marketer</t>
        </is>
      </c>
      <c r="G31" s="13" t="inlineStr">
        <is>
          <t>31 Aug</t>
        </is>
      </c>
      <c r="H31" s="40" t="inlineStr">
        <is>
          <t>PLANNED</t>
        </is>
      </c>
      <c r="I31" s="2" t="inlineStr">
        <is>
          <t>Sprint</t>
        </is>
      </c>
    </row>
    <row r="32">
      <c r="B32" s="37" t="n">
        <v>8</v>
      </c>
      <c r="D32" s="42" t="inlineStr">
        <is>
          <t>GE2</t>
        </is>
      </c>
      <c r="E32" s="6" t="inlineStr">
        <is>
          <t>Week 2 visit schedule confirmed</t>
        </is>
      </c>
      <c r="F32" s="6" t="inlineStr">
        <is>
          <t>Schools Coordinator</t>
        </is>
      </c>
      <c r="G32" s="13" t="inlineStr">
        <is>
          <t>31 Aug</t>
        </is>
      </c>
      <c r="H32" s="40" t="inlineStr">
        <is>
          <t>PLANNED</t>
        </is>
      </c>
      <c r="I32" s="2" t="inlineStr">
        <is>
          <t>Sprint</t>
        </is>
      </c>
    </row>
    <row r="33">
      <c r="B33" s="37" t="n">
        <v>8</v>
      </c>
      <c r="D33" s="43" t="inlineStr">
        <is>
          <t>GE3</t>
        </is>
      </c>
      <c r="E33" s="6" t="inlineStr">
        <is>
          <t>BMW and Porsche negotiation close, signature</t>
        </is>
      </c>
      <c r="F33" s="6" t="inlineStr">
        <is>
          <t>Strategy Lead</t>
        </is>
      </c>
      <c r="G33" s="13" t="inlineStr">
        <is>
          <t>31 Aug</t>
        </is>
      </c>
      <c r="H33" s="40" t="inlineStr">
        <is>
          <t>PLANNED</t>
        </is>
      </c>
      <c r="I33" s="2" t="inlineStr">
        <is>
          <t>v4 Calendar</t>
        </is>
      </c>
    </row>
    <row r="34">
      <c r="B34" s="37" t="n">
        <v>9</v>
      </c>
      <c r="C34" s="38" t="n">
        <v>46266</v>
      </c>
      <c r="D34" s="42" t="inlineStr">
        <is>
          <t>GE2</t>
        </is>
      </c>
      <c r="E34" s="6" t="inlineStr">
        <is>
          <t>School visits 7 and 8</t>
        </is>
      </c>
      <c r="F34" s="6" t="inlineStr">
        <is>
          <t>Schools Coordinator</t>
        </is>
      </c>
      <c r="G34" s="13" t="inlineStr">
        <is>
          <t>1 Sep</t>
        </is>
      </c>
      <c r="H34" s="40" t="inlineStr">
        <is>
          <t>PLANNED</t>
        </is>
      </c>
      <c r="I34" s="2" t="inlineStr">
        <is>
          <t>Sprint</t>
        </is>
      </c>
    </row>
    <row r="35">
      <c r="B35" s="37" t="n">
        <v>9</v>
      </c>
      <c r="D35" s="42" t="inlineStr">
        <is>
          <t>GE2</t>
        </is>
      </c>
      <c r="E35" s="6" t="inlineStr">
        <is>
          <t>Conference follow up and MOU push begins</t>
        </is>
      </c>
      <c r="F35" s="6" t="inlineStr">
        <is>
          <t>Schools Coordinator</t>
        </is>
      </c>
      <c r="G35" s="13" t="inlineStr">
        <is>
          <t>1 Sep</t>
        </is>
      </c>
      <c r="H35" s="40" t="inlineStr">
        <is>
          <t>PLANNED</t>
        </is>
      </c>
      <c r="I35" s="2" t="inlineStr">
        <is>
          <t>v4 Calendar</t>
        </is>
      </c>
    </row>
    <row r="36">
      <c r="B36" s="37" t="n">
        <v>9</v>
      </c>
      <c r="D36" s="42" t="inlineStr">
        <is>
          <t>GE2</t>
        </is>
      </c>
      <c r="E36" s="6" t="inlineStr">
        <is>
          <t>SAHISA Durban prep begins, conference 13 to 16 Sep</t>
        </is>
      </c>
      <c r="F36" s="6" t="inlineStr">
        <is>
          <t>Schools Coordinator</t>
        </is>
      </c>
      <c r="G36" s="13" t="inlineStr">
        <is>
          <t>1 Sep</t>
        </is>
      </c>
      <c r="H36" s="40" t="inlineStr">
        <is>
          <t>PLANNED</t>
        </is>
      </c>
      <c r="I36" s="2" t="inlineStr">
        <is>
          <t>v4 Calendar</t>
        </is>
      </c>
    </row>
    <row r="37">
      <c r="B37" s="37" t="n">
        <v>9</v>
      </c>
      <c r="D37" s="41" t="inlineStr">
        <is>
          <t>GE1</t>
        </is>
      </c>
      <c r="E37" s="6" t="inlineStr">
        <is>
          <t>Creative variant set 3 live</t>
        </is>
      </c>
      <c r="F37" s="6" t="inlineStr">
        <is>
          <t>Designer</t>
        </is>
      </c>
      <c r="G37" s="13" t="inlineStr">
        <is>
          <t>1 Sep</t>
        </is>
      </c>
      <c r="H37" s="40" t="inlineStr">
        <is>
          <t>PLANNED</t>
        </is>
      </c>
      <c r="I37" s="2" t="inlineStr">
        <is>
          <t>Sprint</t>
        </is>
      </c>
    </row>
    <row r="38">
      <c r="B38" s="37" t="n">
        <v>10</v>
      </c>
      <c r="C38" s="38" t="n">
        <v>46267</v>
      </c>
      <c r="D38" s="42" t="inlineStr">
        <is>
          <t>GE2</t>
        </is>
      </c>
      <c r="E38" s="6" t="inlineStr">
        <is>
          <t>School visits 9 and 10</t>
        </is>
      </c>
      <c r="F38" s="6" t="inlineStr">
        <is>
          <t>Schools Coordinator</t>
        </is>
      </c>
      <c r="G38" s="13" t="inlineStr">
        <is>
          <t>2 Sep</t>
        </is>
      </c>
      <c r="H38" s="40" t="inlineStr">
        <is>
          <t>PLANNED</t>
        </is>
      </c>
      <c r="I38" s="2" t="inlineStr">
        <is>
          <t>Sprint</t>
        </is>
      </c>
    </row>
    <row r="39">
      <c r="B39" s="37" t="n">
        <v>10</v>
      </c>
      <c r="D39" s="41" t="inlineStr">
        <is>
          <t>GE1</t>
        </is>
      </c>
      <c r="E39" s="6" t="inlineStr">
        <is>
          <t>Mid sprint cost per sale read against target</t>
        </is>
      </c>
      <c r="F39" s="6" t="inlineStr">
        <is>
          <t>Performance Marketer</t>
        </is>
      </c>
      <c r="G39" s="13" t="inlineStr">
        <is>
          <t>2 Sep</t>
        </is>
      </c>
      <c r="H39" s="40" t="inlineStr">
        <is>
          <t>PLANNED</t>
        </is>
      </c>
      <c r="I39" s="2" t="inlineStr">
        <is>
          <t>Sprint</t>
        </is>
      </c>
    </row>
    <row r="40">
      <c r="B40" s="37" t="n">
        <v>11</v>
      </c>
      <c r="C40" s="38" t="n">
        <v>46268</v>
      </c>
      <c r="D40" s="42" t="inlineStr">
        <is>
          <t>GE2</t>
        </is>
      </c>
      <c r="E40" s="6" t="inlineStr">
        <is>
          <t>School visits 11 and 12</t>
        </is>
      </c>
      <c r="F40" s="6" t="inlineStr">
        <is>
          <t>Schools Coordinator</t>
        </is>
      </c>
      <c r="G40" s="13" t="inlineStr">
        <is>
          <t>3 Sep</t>
        </is>
      </c>
      <c r="H40" s="40" t="inlineStr">
        <is>
          <t>PLANNED</t>
        </is>
      </c>
      <c r="I40" s="2" t="inlineStr">
        <is>
          <t>Sprint</t>
        </is>
      </c>
    </row>
    <row r="41">
      <c r="B41" s="37" t="n">
        <v>11</v>
      </c>
      <c r="D41" s="41" t="inlineStr">
        <is>
          <t>GE1</t>
        </is>
      </c>
      <c r="E41" s="6" t="inlineStr">
        <is>
          <t>Pause any channel running above twice target cost per sale</t>
        </is>
      </c>
      <c r="F41" s="6" t="inlineStr">
        <is>
          <t>Performance Marketer</t>
        </is>
      </c>
      <c r="G41" s="13" t="inlineStr">
        <is>
          <t>3 Sep</t>
        </is>
      </c>
      <c r="H41" s="40" t="inlineStr">
        <is>
          <t>PLANNED</t>
        </is>
      </c>
      <c r="I41" s="2" t="inlineStr">
        <is>
          <t>Sprint</t>
        </is>
      </c>
    </row>
    <row r="42">
      <c r="B42" s="37" t="n">
        <v>12</v>
      </c>
      <c r="C42" s="38" t="n">
        <v>46269</v>
      </c>
      <c r="D42" s="39" t="inlineStr">
        <is>
          <t>ALL</t>
        </is>
      </c>
      <c r="E42" s="6" t="inlineStr">
        <is>
          <t>Week 2 working book updated</t>
        </is>
      </c>
      <c r="F42" s="6" t="inlineStr">
        <is>
          <t>Campaign Lead</t>
        </is>
      </c>
      <c r="G42" s="13" t="inlineStr">
        <is>
          <t>4 Sep</t>
        </is>
      </c>
      <c r="H42" s="40" t="inlineStr">
        <is>
          <t>PLANNED</t>
        </is>
      </c>
      <c r="I42" s="2" t="inlineStr">
        <is>
          <t>Sprint</t>
        </is>
      </c>
    </row>
    <row r="43">
      <c r="B43" s="37" t="n">
        <v>12</v>
      </c>
      <c r="D43" s="42" t="inlineStr">
        <is>
          <t>GE2</t>
        </is>
      </c>
      <c r="E43" s="6" t="inlineStr">
        <is>
          <t>Week 2 visit results logged</t>
        </is>
      </c>
      <c r="F43" s="6" t="inlineStr">
        <is>
          <t>Schools Coordinator</t>
        </is>
      </c>
      <c r="G43" s="13" t="inlineStr">
        <is>
          <t>4 Sep</t>
        </is>
      </c>
      <c r="H43" s="40" t="inlineStr">
        <is>
          <t>PLANNED</t>
        </is>
      </c>
      <c r="I43" s="2" t="inlineStr">
        <is>
          <t>Sprint</t>
        </is>
      </c>
    </row>
    <row r="44">
      <c r="B44" s="37" t="n">
        <v>13</v>
      </c>
      <c r="C44" s="38" t="n">
        <v>46270</v>
      </c>
      <c r="D44" s="41" t="inlineStr">
        <is>
          <t>GE1</t>
        </is>
      </c>
      <c r="E44" s="6" t="inlineStr">
        <is>
          <t>Organic conversion post, both channels</t>
        </is>
      </c>
      <c r="F44" s="6" t="inlineStr">
        <is>
          <t>Content Producer</t>
        </is>
      </c>
      <c r="G44" s="13" t="inlineStr">
        <is>
          <t>5 Sep</t>
        </is>
      </c>
      <c r="H44" s="40" t="inlineStr">
        <is>
          <t>PLANNED</t>
        </is>
      </c>
      <c r="I44" s="2" t="inlineStr">
        <is>
          <t>Sprint</t>
        </is>
      </c>
    </row>
    <row r="45">
      <c r="B45" s="37" t="n">
        <v>13</v>
      </c>
      <c r="D45" s="41" t="inlineStr">
        <is>
          <t>GE1</t>
        </is>
      </c>
      <c r="E45" s="6" t="inlineStr">
        <is>
          <t>Weekend spend read</t>
        </is>
      </c>
      <c r="F45" s="6" t="inlineStr">
        <is>
          <t>Performance Marketer</t>
        </is>
      </c>
      <c r="G45" s="13" t="inlineStr">
        <is>
          <t>5 Sep</t>
        </is>
      </c>
      <c r="H45" s="40" t="inlineStr">
        <is>
          <t>PLANNED</t>
        </is>
      </c>
      <c r="I45" s="2" t="inlineStr">
        <is>
          <t>Sprint</t>
        </is>
      </c>
    </row>
    <row r="46">
      <c r="B46" s="37" t="n">
        <v>14</v>
      </c>
      <c r="C46" s="38" t="n">
        <v>46271</v>
      </c>
      <c r="D46" s="39" t="inlineStr">
        <is>
          <t>ALL</t>
        </is>
      </c>
      <c r="E46" s="6" t="inlineStr">
        <is>
          <t>Final sales count confirmed against the Peach feed</t>
        </is>
      </c>
      <c r="F46" s="6" t="inlineStr">
        <is>
          <t>Campaign Lead</t>
        </is>
      </c>
      <c r="G46" s="13" t="inlineStr">
        <is>
          <t>6 Sep</t>
        </is>
      </c>
      <c r="H46" s="40" t="inlineStr">
        <is>
          <t>PLANNED</t>
        </is>
      </c>
      <c r="I46" s="22" t="inlineStr">
        <is>
          <t>Blocked: dev</t>
        </is>
      </c>
    </row>
    <row r="47">
      <c r="B47" s="37" t="n">
        <v>14</v>
      </c>
      <c r="D47" s="39" t="inlineStr">
        <is>
          <t>ALL</t>
        </is>
      </c>
      <c r="E47" s="6" t="inlineStr">
        <is>
          <t>11_Go_No_Go completed and sent to MD</t>
        </is>
      </c>
      <c r="F47" s="6" t="inlineStr">
        <is>
          <t>Campaign Lead</t>
        </is>
      </c>
      <c r="G47" s="13" t="inlineStr">
        <is>
          <t>6 Sep</t>
        </is>
      </c>
      <c r="H47" s="40" t="inlineStr">
        <is>
          <t>PLANNED</t>
        </is>
      </c>
      <c r="I47" s="2" t="inlineStr">
        <is>
          <t>Sprint</t>
        </is>
      </c>
    </row>
    <row r="49">
      <c r="B49" s="2" t="inlineStr">
        <is>
          <t>Status values: PLANNED / DOING / DONE / SLIPPED / DROPPED. Anything not DONE on its due date is raised at the next stand up.</t>
        </is>
      </c>
    </row>
    <row r="50">
      <c r="B50" s="2" t="inlineStr">
        <is>
          <t>School visits: 6 per week is the visit target. The Phase 2 v4 GE2 KPI of 25 per week is calls plus visits combined, so 19 calls per week sit alongside these.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P30"/>
  <sheetViews>
    <sheetView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6" customWidth="1" min="3" max="3"/>
    <col width="13" customWidth="1" min="4" max="4"/>
    <col width="11" customWidth="1" min="5" max="5"/>
    <col width="12" customWidth="1" min="6" max="6"/>
    <col width="11" customWidth="1" min="7" max="7"/>
    <col width="11" customWidth="1" min="8" max="8"/>
    <col width="10" customWidth="1" min="9" max="9"/>
    <col width="13" customWidth="1" min="10" max="10"/>
    <col width="11" customWidth="1" min="11" max="11"/>
    <col width="11" customWidth="1" min="12" max="12"/>
    <col width="13" customWidth="1" min="13" max="13"/>
    <col width="13" customWidth="1" min="14" max="14"/>
    <col width="11" customWidth="1" min="15" max="15"/>
    <col width="34" customWidth="1" min="16" max="16"/>
  </cols>
  <sheetData>
    <row r="2" ht="27" customHeight="1">
      <c r="B2" s="1" t="inlineStr">
        <is>
          <t>DAILY LOG</t>
        </is>
      </c>
    </row>
    <row r="3" ht="13" customHeight="1">
      <c r="B3" s="2" t="inlineStr">
        <is>
          <t>The only sheet anyone types numbers into. Filled every morning for the day before, by 09:00. Every other sheet reads from here.</t>
        </is>
      </c>
    </row>
    <row r="5" ht="20" customHeight="1">
      <c r="B5" s="3" t="inlineStr">
        <is>
          <t>Type into the yellow cells only. Grey columns are calculated.</t>
        </is>
      </c>
      <c r="C5" s="4" t="n"/>
      <c r="D5" s="4" t="n"/>
      <c r="E5" s="4" t="n"/>
      <c r="F5" s="4" t="n"/>
      <c r="G5" s="4" t="n"/>
      <c r="H5" s="4" t="n"/>
      <c r="I5" s="4" t="n"/>
      <c r="J5" s="4" t="n"/>
      <c r="K5" s="4" t="n"/>
      <c r="L5" s="4" t="n"/>
      <c r="M5" s="4" t="n"/>
      <c r="N5" s="4" t="n"/>
      <c r="O5" s="4" t="n"/>
      <c r="P5" s="4" t="n"/>
    </row>
    <row r="6">
      <c r="E6" s="44" t="inlineStr">
        <is>
          <t>GE1: PAID MEDIA</t>
        </is>
      </c>
      <c r="I6" s="45" t="inlineStr">
        <is>
          <t>GE2: SCHOOL OUTREACH</t>
        </is>
      </c>
      <c r="M6" s="46" t="inlineStr">
        <is>
          <t>CALCULATED</t>
        </is>
      </c>
    </row>
    <row r="7" ht="26" customHeight="1">
      <c r="B7" s="11" t="inlineStr">
        <is>
          <t>Date</t>
        </is>
      </c>
      <c r="C7" s="11" t="inlineStr">
        <is>
          <t>Day</t>
        </is>
      </c>
      <c r="D7" s="11" t="inlineStr">
        <is>
          <t>Spend (R)</t>
        </is>
      </c>
      <c r="E7" s="11" t="inlineStr">
        <is>
          <t>Clicks</t>
        </is>
      </c>
      <c r="F7" s="11" t="inlineStr">
        <is>
          <t>Signups</t>
        </is>
      </c>
      <c r="G7" s="11" t="inlineStr">
        <is>
          <t>Sales</t>
        </is>
      </c>
      <c r="H7" s="11" t="inlineStr">
        <is>
          <t>Schools visited</t>
        </is>
      </c>
      <c r="I7" s="11" t="inlineStr">
        <is>
          <t>Calls</t>
        </is>
      </c>
      <c r="J7" s="11" t="inlineStr">
        <is>
          <t>Signups captured</t>
        </is>
      </c>
      <c r="K7" s="11" t="inlineStr">
        <is>
          <t>Sales</t>
        </is>
      </c>
      <c r="L7" s="11" t="inlineStr">
        <is>
          <t>Total sales</t>
        </is>
      </c>
      <c r="M7" s="11" t="inlineStr">
        <is>
          <t>Cumulative</t>
        </is>
      </c>
      <c r="N7" s="11" t="inlineStr">
        <is>
          <t>Target cum.</t>
        </is>
      </c>
      <c r="O7" s="11" t="inlineStr">
        <is>
          <t>Variance</t>
        </is>
      </c>
      <c r="P7" s="11" t="inlineStr">
        <is>
          <t>Note</t>
        </is>
      </c>
    </row>
    <row r="8">
      <c r="B8" s="38" t="n">
        <v>46258</v>
      </c>
      <c r="C8" s="47" t="n">
        <v>1</v>
      </c>
      <c r="D8" s="35" t="n"/>
      <c r="E8" s="26" t="n"/>
      <c r="F8" s="26" t="n"/>
      <c r="G8" s="26" t="n"/>
      <c r="H8" s="26" t="n"/>
      <c r="I8" s="26" t="n"/>
      <c r="J8" s="26" t="n"/>
      <c r="K8" s="26" t="n"/>
      <c r="L8" s="48">
        <f>G8+K8</f>
        <v/>
      </c>
      <c r="M8" s="48">
        <f>SUM($L$8:L8)</f>
        <v/>
      </c>
      <c r="N8" s="49">
        <f>ROUND('03_Sprint_Drivers'!$C$14/'03_Sprint_Drivers'!$C$9*C8,0)</f>
        <v/>
      </c>
      <c r="O8" s="57">
        <f>M8-N8</f>
        <v/>
      </c>
      <c r="P8" s="12" t="n"/>
    </row>
    <row r="9">
      <c r="B9" s="38" t="n">
        <v>46259</v>
      </c>
      <c r="C9" s="47" t="n">
        <v>2</v>
      </c>
      <c r="D9" s="35" t="n"/>
      <c r="E9" s="26" t="n"/>
      <c r="F9" s="26" t="n"/>
      <c r="G9" s="26" t="n"/>
      <c r="H9" s="26" t="n"/>
      <c r="I9" s="26" t="n"/>
      <c r="J9" s="26" t="n"/>
      <c r="K9" s="26" t="n"/>
      <c r="L9" s="48">
        <f>G9+K9</f>
        <v/>
      </c>
      <c r="M9" s="48">
        <f>SUM($L$8:L9)</f>
        <v/>
      </c>
      <c r="N9" s="49">
        <f>ROUND('03_Sprint_Drivers'!$C$14/'03_Sprint_Drivers'!$C$9*C9,0)</f>
        <v/>
      </c>
      <c r="O9" s="57">
        <f>M9-N9</f>
        <v/>
      </c>
      <c r="P9" s="12" t="n"/>
    </row>
    <row r="10">
      <c r="B10" s="38" t="n">
        <v>46260</v>
      </c>
      <c r="C10" s="47" t="n">
        <v>3</v>
      </c>
      <c r="D10" s="35" t="n"/>
      <c r="E10" s="26" t="n"/>
      <c r="F10" s="26" t="n"/>
      <c r="G10" s="26" t="n"/>
      <c r="H10" s="26" t="n"/>
      <c r="I10" s="26" t="n"/>
      <c r="J10" s="26" t="n"/>
      <c r="K10" s="26" t="n"/>
      <c r="L10" s="48">
        <f>G10+K10</f>
        <v/>
      </c>
      <c r="M10" s="48">
        <f>SUM($L$8:L10)</f>
        <v/>
      </c>
      <c r="N10" s="49">
        <f>ROUND('03_Sprint_Drivers'!$C$14/'03_Sprint_Drivers'!$C$9*C10,0)</f>
        <v/>
      </c>
      <c r="O10" s="57">
        <f>M10-N10</f>
        <v/>
      </c>
      <c r="P10" s="12" t="n"/>
    </row>
    <row r="11">
      <c r="B11" s="38" t="n">
        <v>46261</v>
      </c>
      <c r="C11" s="47" t="n">
        <v>4</v>
      </c>
      <c r="D11" s="35" t="n"/>
      <c r="E11" s="26" t="n"/>
      <c r="F11" s="26" t="n"/>
      <c r="G11" s="26" t="n"/>
      <c r="H11" s="26" t="n"/>
      <c r="I11" s="26" t="n"/>
      <c r="J11" s="26" t="n"/>
      <c r="K11" s="26" t="n"/>
      <c r="L11" s="48">
        <f>G11+K11</f>
        <v/>
      </c>
      <c r="M11" s="48">
        <f>SUM($L$8:L11)</f>
        <v/>
      </c>
      <c r="N11" s="49">
        <f>ROUND('03_Sprint_Drivers'!$C$14/'03_Sprint_Drivers'!$C$9*C11,0)</f>
        <v/>
      </c>
      <c r="O11" s="57">
        <f>M11-N11</f>
        <v/>
      </c>
      <c r="P11" s="12" t="n"/>
    </row>
    <row r="12">
      <c r="B12" s="38" t="n">
        <v>46262</v>
      </c>
      <c r="C12" s="47" t="n">
        <v>5</v>
      </c>
      <c r="D12" s="35" t="n"/>
      <c r="E12" s="26" t="n"/>
      <c r="F12" s="26" t="n"/>
      <c r="G12" s="26" t="n"/>
      <c r="H12" s="26" t="n"/>
      <c r="I12" s="26" t="n"/>
      <c r="J12" s="26" t="n"/>
      <c r="K12" s="26" t="n"/>
      <c r="L12" s="48">
        <f>G12+K12</f>
        <v/>
      </c>
      <c r="M12" s="48">
        <f>SUM($L$8:L12)</f>
        <v/>
      </c>
      <c r="N12" s="49">
        <f>ROUND('03_Sprint_Drivers'!$C$14/'03_Sprint_Drivers'!$C$9*C12,0)</f>
        <v/>
      </c>
      <c r="O12" s="57">
        <f>M12-N12</f>
        <v/>
      </c>
      <c r="P12" s="12" t="n"/>
    </row>
    <row r="13">
      <c r="B13" s="38" t="n">
        <v>46263</v>
      </c>
      <c r="C13" s="47" t="n">
        <v>6</v>
      </c>
      <c r="D13" s="35" t="n"/>
      <c r="E13" s="26" t="n"/>
      <c r="F13" s="26" t="n"/>
      <c r="G13" s="26" t="n"/>
      <c r="H13" s="26" t="n"/>
      <c r="I13" s="26" t="n"/>
      <c r="J13" s="26" t="n"/>
      <c r="K13" s="26" t="n"/>
      <c r="L13" s="48">
        <f>G13+K13</f>
        <v/>
      </c>
      <c r="M13" s="48">
        <f>SUM($L$8:L13)</f>
        <v/>
      </c>
      <c r="N13" s="49">
        <f>ROUND('03_Sprint_Drivers'!$C$14/'03_Sprint_Drivers'!$C$9*C13,0)</f>
        <v/>
      </c>
      <c r="O13" s="57">
        <f>M13-N13</f>
        <v/>
      </c>
      <c r="P13" s="12" t="n"/>
    </row>
    <row r="14">
      <c r="B14" s="38" t="n">
        <v>46264</v>
      </c>
      <c r="C14" s="47" t="n">
        <v>7</v>
      </c>
      <c r="D14" s="35" t="n"/>
      <c r="E14" s="26" t="n"/>
      <c r="F14" s="26" t="n"/>
      <c r="G14" s="26" t="n"/>
      <c r="H14" s="26" t="n"/>
      <c r="I14" s="26" t="n"/>
      <c r="J14" s="26" t="n"/>
      <c r="K14" s="26" t="n"/>
      <c r="L14" s="48">
        <f>G14+K14</f>
        <v/>
      </c>
      <c r="M14" s="48">
        <f>SUM($L$8:L14)</f>
        <v/>
      </c>
      <c r="N14" s="49">
        <f>ROUND('03_Sprint_Drivers'!$C$14/'03_Sprint_Drivers'!$C$9*C14,0)</f>
        <v/>
      </c>
      <c r="O14" s="57">
        <f>M14-N14</f>
        <v/>
      </c>
      <c r="P14" s="12" t="n"/>
    </row>
    <row r="15">
      <c r="B15" s="38" t="n">
        <v>46265</v>
      </c>
      <c r="C15" s="47" t="n">
        <v>8</v>
      </c>
      <c r="D15" s="35" t="n"/>
      <c r="E15" s="26" t="n"/>
      <c r="F15" s="26" t="n"/>
      <c r="G15" s="26" t="n"/>
      <c r="H15" s="26" t="n"/>
      <c r="I15" s="26" t="n"/>
      <c r="J15" s="26" t="n"/>
      <c r="K15" s="26" t="n"/>
      <c r="L15" s="48">
        <f>G15+K15</f>
        <v/>
      </c>
      <c r="M15" s="48">
        <f>SUM($L$8:L15)</f>
        <v/>
      </c>
      <c r="N15" s="49">
        <f>ROUND('03_Sprint_Drivers'!$C$14/'03_Sprint_Drivers'!$C$9*C15,0)</f>
        <v/>
      </c>
      <c r="O15" s="57">
        <f>M15-N15</f>
        <v/>
      </c>
      <c r="P15" s="12" t="n"/>
    </row>
    <row r="16">
      <c r="B16" s="38" t="n">
        <v>46266</v>
      </c>
      <c r="C16" s="47" t="n">
        <v>9</v>
      </c>
      <c r="D16" s="35" t="n"/>
      <c r="E16" s="26" t="n"/>
      <c r="F16" s="26" t="n"/>
      <c r="G16" s="26" t="n"/>
      <c r="H16" s="26" t="n"/>
      <c r="I16" s="26" t="n"/>
      <c r="J16" s="26" t="n"/>
      <c r="K16" s="26" t="n"/>
      <c r="L16" s="48">
        <f>G16+K16</f>
        <v/>
      </c>
      <c r="M16" s="48">
        <f>SUM($L$8:L16)</f>
        <v/>
      </c>
      <c r="N16" s="49">
        <f>ROUND('03_Sprint_Drivers'!$C$14/'03_Sprint_Drivers'!$C$9*C16,0)</f>
        <v/>
      </c>
      <c r="O16" s="57">
        <f>M16-N16</f>
        <v/>
      </c>
      <c r="P16" s="12" t="n"/>
    </row>
    <row r="17">
      <c r="B17" s="38" t="n">
        <v>46267</v>
      </c>
      <c r="C17" s="47" t="n">
        <v>10</v>
      </c>
      <c r="D17" s="35" t="n"/>
      <c r="E17" s="26" t="n"/>
      <c r="F17" s="26" t="n"/>
      <c r="G17" s="26" t="n"/>
      <c r="H17" s="26" t="n"/>
      <c r="I17" s="26" t="n"/>
      <c r="J17" s="26" t="n"/>
      <c r="K17" s="26" t="n"/>
      <c r="L17" s="48">
        <f>G17+K17</f>
        <v/>
      </c>
      <c r="M17" s="48">
        <f>SUM($L$8:L17)</f>
        <v/>
      </c>
      <c r="N17" s="49">
        <f>ROUND('03_Sprint_Drivers'!$C$14/'03_Sprint_Drivers'!$C$9*C17,0)</f>
        <v/>
      </c>
      <c r="O17" s="57">
        <f>M17-N17</f>
        <v/>
      </c>
      <c r="P17" s="12" t="n"/>
    </row>
    <row r="18">
      <c r="B18" s="38" t="n">
        <v>46268</v>
      </c>
      <c r="C18" s="47" t="n">
        <v>11</v>
      </c>
      <c r="D18" s="35" t="n"/>
      <c r="E18" s="26" t="n"/>
      <c r="F18" s="26" t="n"/>
      <c r="G18" s="26" t="n"/>
      <c r="H18" s="26" t="n"/>
      <c r="I18" s="26" t="n"/>
      <c r="J18" s="26" t="n"/>
      <c r="K18" s="26" t="n"/>
      <c r="L18" s="48">
        <f>G18+K18</f>
        <v/>
      </c>
      <c r="M18" s="48">
        <f>SUM($L$8:L18)</f>
        <v/>
      </c>
      <c r="N18" s="49">
        <f>ROUND('03_Sprint_Drivers'!$C$14/'03_Sprint_Drivers'!$C$9*C18,0)</f>
        <v/>
      </c>
      <c r="O18" s="57">
        <f>M18-N18</f>
        <v/>
      </c>
      <c r="P18" s="12" t="n"/>
    </row>
    <row r="19">
      <c r="B19" s="38" t="n">
        <v>46269</v>
      </c>
      <c r="C19" s="47" t="n">
        <v>12</v>
      </c>
      <c r="D19" s="35" t="n"/>
      <c r="E19" s="26" t="n"/>
      <c r="F19" s="26" t="n"/>
      <c r="G19" s="26" t="n"/>
      <c r="H19" s="26" t="n"/>
      <c r="I19" s="26" t="n"/>
      <c r="J19" s="26" t="n"/>
      <c r="K19" s="26" t="n"/>
      <c r="L19" s="48">
        <f>G19+K19</f>
        <v/>
      </c>
      <c r="M19" s="48">
        <f>SUM($L$8:L19)</f>
        <v/>
      </c>
      <c r="N19" s="49">
        <f>ROUND('03_Sprint_Drivers'!$C$14/'03_Sprint_Drivers'!$C$9*C19,0)</f>
        <v/>
      </c>
      <c r="O19" s="57">
        <f>M19-N19</f>
        <v/>
      </c>
      <c r="P19" s="12" t="n"/>
    </row>
    <row r="20">
      <c r="B20" s="38" t="n">
        <v>46270</v>
      </c>
      <c r="C20" s="47" t="n">
        <v>13</v>
      </c>
      <c r="D20" s="35" t="n"/>
      <c r="E20" s="26" t="n"/>
      <c r="F20" s="26" t="n"/>
      <c r="G20" s="26" t="n"/>
      <c r="H20" s="26" t="n"/>
      <c r="I20" s="26" t="n"/>
      <c r="J20" s="26" t="n"/>
      <c r="K20" s="26" t="n"/>
      <c r="L20" s="48">
        <f>G20+K20</f>
        <v/>
      </c>
      <c r="M20" s="48">
        <f>SUM($L$8:L20)</f>
        <v/>
      </c>
      <c r="N20" s="49">
        <f>ROUND('03_Sprint_Drivers'!$C$14/'03_Sprint_Drivers'!$C$9*C20,0)</f>
        <v/>
      </c>
      <c r="O20" s="57">
        <f>M20-N20</f>
        <v/>
      </c>
      <c r="P20" s="12" t="n"/>
    </row>
    <row r="21">
      <c r="B21" s="38" t="n">
        <v>46271</v>
      </c>
      <c r="C21" s="47" t="n">
        <v>14</v>
      </c>
      <c r="D21" s="35" t="n"/>
      <c r="E21" s="26" t="n"/>
      <c r="F21" s="26" t="n"/>
      <c r="G21" s="26" t="n"/>
      <c r="H21" s="26" t="n"/>
      <c r="I21" s="26" t="n"/>
      <c r="J21" s="26" t="n"/>
      <c r="K21" s="26" t="n"/>
      <c r="L21" s="48">
        <f>G21+K21</f>
        <v/>
      </c>
      <c r="M21" s="48">
        <f>SUM($L$8:L21)</f>
        <v/>
      </c>
      <c r="N21" s="49">
        <f>ROUND('03_Sprint_Drivers'!$C$14/'03_Sprint_Drivers'!$C$9*C21,0)</f>
        <v/>
      </c>
      <c r="O21" s="57">
        <f>M21-N21</f>
        <v/>
      </c>
      <c r="P21" s="12" t="n"/>
    </row>
    <row r="22">
      <c r="B22" s="51" t="inlineStr">
        <is>
          <t>TOTAL</t>
        </is>
      </c>
      <c r="C22" s="4" t="n"/>
      <c r="D22" s="52">
        <f>SUM(D8:D21)</f>
        <v/>
      </c>
      <c r="E22" s="53">
        <f>SUM(E8:E21)</f>
        <v/>
      </c>
      <c r="F22" s="53">
        <f>SUM(F8:F21)</f>
        <v/>
      </c>
      <c r="G22" s="53">
        <f>SUM(G8:G21)</f>
        <v/>
      </c>
      <c r="H22" s="53">
        <f>SUM(H8:H21)</f>
        <v/>
      </c>
      <c r="I22" s="53">
        <f>SUM(I8:I21)</f>
        <v/>
      </c>
      <c r="J22" s="53">
        <f>SUM(J8:J21)</f>
        <v/>
      </c>
      <c r="K22" s="53">
        <f>SUM(K8:K21)</f>
        <v/>
      </c>
      <c r="L22" s="53">
        <f>SUM(L8:L21)</f>
        <v/>
      </c>
      <c r="M22" s="4" t="n"/>
      <c r="N22" s="53">
        <f>'03_Sprint_Drivers'!$C$14</f>
        <v/>
      </c>
      <c r="O22" s="58">
        <f>L22-N22</f>
        <v/>
      </c>
      <c r="P22" s="4" t="n"/>
    </row>
    <row r="24">
      <c r="B24" s="22" t="inlineStr">
        <is>
          <t>EXAMPLE ROW, do not type over the log above. Delete this block once the team has filled day 1.</t>
        </is>
      </c>
    </row>
    <row r="25">
      <c r="B25" s="55" t="inlineStr">
        <is>
          <t>Mon 24 Aug</t>
        </is>
      </c>
      <c r="C25" s="55" t="inlineStr">
        <is>
          <t>1</t>
        </is>
      </c>
      <c r="D25" s="56" t="inlineStr">
        <is>
          <t>R2 400</t>
        </is>
      </c>
      <c r="E25" s="56" t="inlineStr">
        <is>
          <t>310</t>
        </is>
      </c>
      <c r="F25" s="56" t="inlineStr">
        <is>
          <t>44</t>
        </is>
      </c>
      <c r="G25" s="56" t="inlineStr">
        <is>
          <t>6</t>
        </is>
      </c>
      <c r="H25" s="56" t="inlineStr">
        <is>
          <t>2</t>
        </is>
      </c>
      <c r="I25" s="56" t="inlineStr">
        <is>
          <t>9</t>
        </is>
      </c>
      <c r="J25" s="56" t="inlineStr">
        <is>
          <t>31</t>
        </is>
      </c>
      <c r="K25" s="56" t="inlineStr">
        <is>
          <t>3</t>
        </is>
      </c>
      <c r="L25" s="56" t="inlineStr">
        <is>
          <t>9</t>
        </is>
      </c>
      <c r="M25" s="56" t="inlineStr">
        <is>
          <t>9</t>
        </is>
      </c>
      <c r="N25" s="56" t="inlineStr">
        <is>
          <t>18</t>
        </is>
      </c>
      <c r="O25" s="56" t="inlineStr">
        <is>
          <t>-9</t>
        </is>
      </c>
      <c r="P25" s="56" t="inlineStr">
        <is>
          <t>Meta set A pulled at 14:00, CTR 0.6%</t>
        </is>
      </c>
    </row>
    <row r="27">
      <c r="B27" s="2" t="inlineStr">
        <is>
          <t>Spend is what the platform reports as spent that day, not what was budgeted.</t>
        </is>
      </c>
    </row>
    <row r="28">
      <c r="B28" s="2" t="inlineStr">
        <is>
          <t>Sales are taken from the reconciled Peach export, split by the UTM the buyer arrived through. A sale with no UTM goes in neither engine column and is noted.</t>
        </is>
      </c>
    </row>
    <row r="29">
      <c r="B29" s="2" t="inlineStr">
        <is>
          <t>Signups captured (GE2) are parent sign ups taken at a visit, from the QR code or the paper sheet, entered the same day.</t>
        </is>
      </c>
    </row>
    <row r="30">
      <c r="B30" s="2" t="inlineStr">
        <is>
          <t>Target cum. divides the qualifying target evenly across 14 days. It is a pace line, not a forecast.</t>
        </is>
      </c>
    </row>
  </sheetData>
  <mergeCells count="3">
    <mergeCell ref="I6:L6"/>
    <mergeCell ref="M6:P6"/>
    <mergeCell ref="E6:H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E28"/>
  <sheetViews>
    <sheetView workbookViewId="0">
      <selection activeCell="A1" sqref="A1"/>
    </sheetView>
  </sheetViews>
  <sheetFormatPr baseColWidth="8" defaultRowHeight="15"/>
  <cols>
    <col width="3" customWidth="1" min="1" max="1"/>
    <col width="38" customWidth="1" min="2" max="2"/>
    <col width="16" customWidth="1" min="3" max="3"/>
    <col width="14" customWidth="1" min="4" max="4"/>
    <col width="56" customWidth="1" min="5" max="5"/>
  </cols>
  <sheetData>
    <row r="2" ht="27" customHeight="1">
      <c r="B2" s="1" t="inlineStr">
        <is>
          <t>GE1: PAID MEDIA</t>
        </is>
      </c>
    </row>
    <row r="3" ht="13" customHeight="1">
      <c r="B3" s="2" t="inlineStr">
        <is>
          <t>Owner: Performance Marketer. Every figure reads from 05_Daily_Log. Nothing on this sheet is typed except the channel split below.</t>
        </is>
      </c>
    </row>
    <row r="5" ht="20" customHeight="1">
      <c r="B5" s="3" t="inlineStr">
        <is>
          <t>Sprint to date</t>
        </is>
      </c>
      <c r="C5" s="4" t="n"/>
      <c r="D5" s="4" t="n"/>
      <c r="E5" s="4" t="n"/>
    </row>
    <row r="6" ht="26" customHeight="1">
      <c r="B6" s="11" t="inlineStr">
        <is>
          <t>Metric</t>
        </is>
      </c>
      <c r="C6" s="11" t="inlineStr">
        <is>
          <t>Actual</t>
        </is>
      </c>
      <c r="D6" s="11" t="inlineStr">
        <is>
          <t>Target</t>
        </is>
      </c>
      <c r="E6" s="11" t="inlineStr">
        <is>
          <t>Note</t>
        </is>
      </c>
    </row>
    <row r="7">
      <c r="B7" s="6" t="inlineStr">
        <is>
          <t>Spend</t>
        </is>
      </c>
      <c r="C7" s="36">
        <f>SUM('05_Daily_Log'!D8:D21)</f>
        <v/>
      </c>
      <c r="D7" s="59">
        <f>'03_Sprint_Drivers'!$C$13</f>
        <v/>
      </c>
      <c r="E7" s="2" t="inlineStr">
        <is>
          <t>Sum of the log.</t>
        </is>
      </c>
    </row>
    <row r="8">
      <c r="B8" s="6" t="inlineStr">
        <is>
          <t>Clicks</t>
        </is>
      </c>
      <c r="C8" s="24">
        <f>SUM('05_Daily_Log'!E8:E21)</f>
        <v/>
      </c>
      <c r="E8" s="2" t="inlineStr">
        <is>
          <t>Sum of the log.</t>
        </is>
      </c>
    </row>
    <row r="9">
      <c r="B9" s="6" t="inlineStr">
        <is>
          <t>Signups</t>
        </is>
      </c>
      <c r="C9" s="24">
        <f>SUM('05_Daily_Log'!F8:F21)</f>
        <v/>
      </c>
      <c r="E9" s="2" t="inlineStr">
        <is>
          <t>Sum of the log.</t>
        </is>
      </c>
    </row>
    <row r="10">
      <c r="B10" s="6" t="inlineStr">
        <is>
          <t>Sales</t>
        </is>
      </c>
      <c r="C10" s="24">
        <f>SUM('05_Daily_Log'!G8:G21)</f>
        <v/>
      </c>
      <c r="D10" s="60">
        <f>'03_Sprint_Drivers'!$C$17</f>
        <v/>
      </c>
      <c r="E10" s="2" t="inlineStr">
        <is>
          <t>Sum of the log. Peach reconciled, UTM attributed.</t>
        </is>
      </c>
    </row>
    <row r="11">
      <c r="B11" s="6" t="inlineStr">
        <is>
          <t>Cost per sale</t>
        </is>
      </c>
      <c r="C11" s="36">
        <f>IFERROR(SUM('05_Daily_Log'!D8:D21)/SUM('05_Daily_Log'!G8:G21),0)</f>
        <v/>
      </c>
      <c r="D11" s="59">
        <f>'03_Sprint_Drivers'!$C$26</f>
        <v/>
      </c>
      <c r="E11" s="2" t="inlineStr">
        <is>
          <t>The number this sprint exists to establish.</t>
        </is>
      </c>
    </row>
    <row r="12">
      <c r="B12" s="6" t="inlineStr">
        <is>
          <t>Cost per signup</t>
        </is>
      </c>
      <c r="C12" s="36">
        <f>IFERROR(SUM('05_Daily_Log'!D8:D21)/SUM('05_Daily_Log'!F8:F21),0)</f>
        <v/>
      </c>
      <c r="D12" s="59" t="n">
        <v>110</v>
      </c>
      <c r="E12" s="2" t="inlineStr">
        <is>
          <t>v4 GE1 KPI target is R85, current R110.</t>
        </is>
      </c>
    </row>
    <row r="13">
      <c r="B13" s="6" t="inlineStr">
        <is>
          <t>Click to signup rate</t>
        </is>
      </c>
      <c r="C13" s="28">
        <f>IFERROR(SUM('05_Daily_Log'!F8:F21)/SUM('05_Daily_Log'!E8:E21),0)</f>
        <v/>
      </c>
      <c r="E13" s="2" t="inlineStr">
        <is>
          <t>Landing page performance.</t>
        </is>
      </c>
    </row>
    <row r="14">
      <c r="B14" s="6" t="inlineStr">
        <is>
          <t>Signup to sale rate</t>
        </is>
      </c>
      <c r="C14" s="28">
        <f>IFERROR(SUM('05_Daily_Log'!G8:G21)/SUM('05_Daily_Log'!F8:F21),0)</f>
        <v/>
      </c>
      <c r="D14" s="61" t="n">
        <v>0.04</v>
      </c>
      <c r="E14" s="2" t="inlineStr">
        <is>
          <t>v4 GE1 KPI target is 4%.</t>
        </is>
      </c>
    </row>
    <row r="15">
      <c r="B15" s="6" t="inlineStr">
        <is>
          <t>Spend left in the cap</t>
        </is>
      </c>
      <c r="C15" s="36">
        <f>'03_Sprint_Drivers'!$C$13-SUM('05_Daily_Log'!D8:D21)</f>
        <v/>
      </c>
      <c r="E15" s="2" t="inlineStr">
        <is>
          <t>Negative means the cap is breached. That needs MD approval.</t>
        </is>
      </c>
    </row>
    <row r="16">
      <c r="B16" s="6" t="inlineStr">
        <is>
          <t>Share of GE1 target banked</t>
        </is>
      </c>
      <c r="C16" s="28">
        <f>IFERROR(SUM('05_Daily_Log'!G8:G21)/'03_Sprint_Drivers'!$C$17,0)</f>
        <v/>
      </c>
      <c r="D16" s="61" t="n">
        <v>1</v>
      </c>
      <c r="E16" s="2" t="inlineStr">
        <is>
          <t>Against the GE1 split of the qualifying target.</t>
        </is>
      </c>
    </row>
    <row r="18" ht="20" customHeight="1">
      <c r="B18" s="3" t="inlineStr">
        <is>
          <t>Channel split. Type into the yellow cells</t>
        </is>
      </c>
      <c r="C18" s="4" t="n"/>
      <c r="D18" s="4" t="n"/>
      <c r="E18" s="4" t="n"/>
    </row>
    <row r="19" ht="26" customHeight="1">
      <c r="B19" s="11" t="inlineStr">
        <is>
          <t>Channel</t>
        </is>
      </c>
      <c r="C19" s="11" t="inlineStr">
        <is>
          <t>Budget (R)</t>
        </is>
      </c>
      <c r="D19" s="11" t="inlineStr">
        <is>
          <t>Spend (R)</t>
        </is>
      </c>
      <c r="E19" s="11" t="inlineStr">
        <is>
          <t>Sales / cost per sale</t>
        </is>
      </c>
    </row>
    <row r="20">
      <c r="B20" s="6" t="inlineStr">
        <is>
          <t>Meta, paid social</t>
        </is>
      </c>
      <c r="C20" s="35" t="n"/>
      <c r="D20" s="35" t="n"/>
      <c r="E20" s="26" t="n"/>
    </row>
    <row r="21">
      <c r="B21" s="6" t="inlineStr">
        <is>
          <t>Google, paid search</t>
        </is>
      </c>
      <c r="C21" s="35" t="n"/>
      <c r="D21" s="35" t="n"/>
      <c r="E21" s="26" t="n"/>
    </row>
    <row r="22">
      <c r="B22" s="6" t="inlineStr">
        <is>
          <t>LinkedIn, paid</t>
        </is>
      </c>
      <c r="C22" s="35" t="n"/>
      <c r="D22" s="35" t="n"/>
      <c r="E22" s="26" t="n"/>
    </row>
    <row r="23">
      <c r="B23" s="6" t="inlineStr">
        <is>
          <t>Boosted organic posts</t>
        </is>
      </c>
      <c r="C23" s="35" t="n"/>
      <c r="D23" s="35" t="n"/>
      <c r="E23" s="26" t="n"/>
    </row>
    <row r="24">
      <c r="B24" s="6" t="inlineStr">
        <is>
          <t>Influencer Wave 3, GP creator</t>
        </is>
      </c>
      <c r="C24" s="35" t="n">
        <v>50000</v>
      </c>
      <c r="D24" s="35" t="n"/>
      <c r="E24" s="26" t="n"/>
    </row>
    <row r="25">
      <c r="B25" s="5" t="inlineStr">
        <is>
          <t>Channel total</t>
        </is>
      </c>
      <c r="C25" s="36">
        <f>SUM(C20:C24)</f>
        <v/>
      </c>
      <c r="D25" s="36">
        <f>SUM(D20:D24)</f>
        <v/>
      </c>
      <c r="E25" s="24">
        <f>SUM(E20:E24)</f>
        <v/>
      </c>
    </row>
    <row r="26">
      <c r="B26" s="2" t="inlineStr">
        <is>
          <t>Column E is sales, not cost per sale. Cost per sale per channel is D divided by E and is read at the Monday call.</t>
        </is>
      </c>
    </row>
    <row r="28">
      <c r="B28" s="2" t="inlineStr">
        <is>
          <t>Influencer Wave 3 budget R50 000 is the v4 Budget Master line for Aug 2026. Confirm how much of it falls inside these 14 days.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24"/>
  <sheetViews>
    <sheetView workbookViewId="0">
      <selection activeCell="A1" sqref="A1"/>
    </sheetView>
  </sheetViews>
  <sheetFormatPr baseColWidth="8" defaultRowHeight="15"/>
  <cols>
    <col width="3" customWidth="1" min="1" max="1"/>
    <col width="38" customWidth="1" min="2" max="2"/>
    <col width="16" customWidth="1" min="3" max="3"/>
    <col width="14" customWidth="1" min="4" max="4"/>
    <col width="56" customWidth="1" min="5" max="5"/>
  </cols>
  <sheetData>
    <row r="2" ht="27" customHeight="1">
      <c r="B2" s="1" t="inlineStr">
        <is>
          <t>GE2: SCHOOL OUTREACH</t>
        </is>
      </c>
    </row>
    <row r="3" ht="13" customHeight="1">
      <c r="B3" s="2" t="inlineStr">
        <is>
          <t>Owner: Schools Coordinator. Reads from 05_Daily_Log and 08_School_Visits. This engine is measured on the same basis as paid media.</t>
        </is>
      </c>
    </row>
    <row r="5" ht="20" customHeight="1">
      <c r="B5" s="3" t="inlineStr">
        <is>
          <t>Sprint to date</t>
        </is>
      </c>
      <c r="C5" s="4" t="n"/>
      <c r="D5" s="4" t="n"/>
      <c r="E5" s="4" t="n"/>
    </row>
    <row r="6" ht="26" customHeight="1">
      <c r="B6" s="11" t="inlineStr">
        <is>
          <t>Metric</t>
        </is>
      </c>
      <c r="C6" s="11" t="inlineStr">
        <is>
          <t>Actual</t>
        </is>
      </c>
      <c r="D6" s="11" t="inlineStr">
        <is>
          <t>Target</t>
        </is>
      </c>
      <c r="E6" s="11" t="inlineStr">
        <is>
          <t>Note</t>
        </is>
      </c>
    </row>
    <row r="7">
      <c r="B7" s="6" t="inlineStr">
        <is>
          <t>Schools visited</t>
        </is>
      </c>
      <c r="C7" s="24">
        <f>SUM('05_Daily_Log'!H8:H21)</f>
        <v/>
      </c>
      <c r="D7" s="60" t="n">
        <v>12</v>
      </c>
      <c r="E7" s="2" t="inlineStr">
        <is>
          <t>6 per week is the visit target.</t>
        </is>
      </c>
    </row>
    <row r="8">
      <c r="B8" s="6" t="inlineStr">
        <is>
          <t>Calls made</t>
        </is>
      </c>
      <c r="C8" s="24">
        <f>SUM('05_Daily_Log'!I8:I21)</f>
        <v/>
      </c>
      <c r="D8" s="60" t="n">
        <v>38</v>
      </c>
      <c r="E8" s="2" t="inlineStr">
        <is>
          <t>19 per week. Calls plus visits equals the v4 GE2 target of 25 per week.</t>
        </is>
      </c>
    </row>
    <row r="9">
      <c r="B9" s="6" t="inlineStr">
        <is>
          <t>Calls plus visits</t>
        </is>
      </c>
      <c r="C9" s="24">
        <f>SUM('05_Daily_Log'!H8:H21)+SUM('05_Daily_Log'!I8:I21)</f>
        <v/>
      </c>
      <c r="D9" s="60" t="n">
        <v>50</v>
      </c>
      <c r="E9" s="2" t="inlineStr">
        <is>
          <t>v4 GE2 KPI. Trigger is below 15 in a week.</t>
        </is>
      </c>
    </row>
    <row r="10">
      <c r="B10" s="6" t="inlineStr">
        <is>
          <t>Signups captured</t>
        </is>
      </c>
      <c r="C10" s="24">
        <f>SUM('05_Daily_Log'!J8:J21)</f>
        <v/>
      </c>
      <c r="E10" s="2" t="inlineStr">
        <is>
          <t>Parent sign ups taken at a visit, same day entry.</t>
        </is>
      </c>
    </row>
    <row r="11">
      <c r="B11" s="6" t="inlineStr">
        <is>
          <t>Sales</t>
        </is>
      </c>
      <c r="C11" s="24">
        <f>SUM('05_Daily_Log'!K8:K21)</f>
        <v/>
      </c>
      <c r="D11" s="60">
        <f>'03_Sprint_Drivers'!$C$18</f>
        <v/>
      </c>
      <c r="E11" s="2" t="inlineStr">
        <is>
          <t>Peach reconciled, attributed to a school tagged link.</t>
        </is>
      </c>
    </row>
    <row r="12">
      <c r="B12" s="6" t="inlineStr">
        <is>
          <t>Signups per visit</t>
        </is>
      </c>
      <c r="C12" s="29">
        <f>IFERROR(SUM('05_Daily_Log'!J8:J21)/SUM('05_Daily_Log'!H8:H21),0)</f>
        <v/>
      </c>
      <c r="E12" s="2" t="inlineStr">
        <is>
          <t>The number that tells you whether visits are worth the travel.</t>
        </is>
      </c>
    </row>
    <row r="13">
      <c r="B13" s="6" t="inlineStr">
        <is>
          <t>Sales per visit</t>
        </is>
      </c>
      <c r="C13" s="62">
        <f>IFERROR(SUM('05_Daily_Log'!K8:K21)/SUM('05_Daily_Log'!H8:H21),0)</f>
        <v/>
      </c>
      <c r="E13" s="2" t="inlineStr">
        <is>
          <t>The school engine equivalent of cost per sale.</t>
        </is>
      </c>
    </row>
    <row r="14">
      <c r="B14" s="6" t="inlineStr">
        <is>
          <t>Signup to sale rate</t>
        </is>
      </c>
      <c r="C14" s="28">
        <f>IFERROR(SUM('05_Daily_Log'!K8:K21)/SUM('05_Daily_Log'!J8:J21),0)</f>
        <v/>
      </c>
      <c r="E14" s="2" t="inlineStr">
        <is>
          <t>Compare against the paid engine on 05.</t>
        </is>
      </c>
    </row>
    <row r="15">
      <c r="B15" s="6" t="inlineStr">
        <is>
          <t>Share of GE2 target banked</t>
        </is>
      </c>
      <c r="C15" s="28">
        <f>IFERROR(SUM('05_Daily_Log'!K8:K21)/'03_Sprint_Drivers'!$C$18,0)</f>
        <v/>
      </c>
      <c r="D15" s="61" t="n">
        <v>1</v>
      </c>
      <c r="E15" s="2" t="inlineStr">
        <is>
          <t>Against the GE2 split of the qualifying target.</t>
        </is>
      </c>
    </row>
    <row r="17" ht="20" customHeight="1">
      <c r="B17" s="3" t="inlineStr">
        <is>
          <t>Sprint cost of this engine. Type into the yellow cells</t>
        </is>
      </c>
      <c r="C17" s="4" t="n"/>
      <c r="D17" s="4" t="n"/>
      <c r="E17" s="4" t="n"/>
    </row>
    <row r="18" ht="26" customHeight="1">
      <c r="B18" s="11" t="inlineStr">
        <is>
          <t>Cost line</t>
        </is>
      </c>
      <c r="C18" s="11" t="inlineStr">
        <is>
          <t>Sprint cost (R)</t>
        </is>
      </c>
      <c r="D18" s="11" t="inlineStr"/>
      <c r="E18" s="11" t="inlineStr">
        <is>
          <t>Source</t>
        </is>
      </c>
    </row>
    <row r="19">
      <c r="B19" s="6" t="inlineStr">
        <is>
          <t>School activations Wave 2</t>
        </is>
      </c>
      <c r="C19" s="35" t="inlineStr"/>
      <c r="E19" s="2" t="inlineStr">
        <is>
          <t>v4 Budget Master, R19 000 for all of Aug 2026. Enter only the portion inside these 14 days.</t>
        </is>
      </c>
    </row>
    <row r="20">
      <c r="B20" s="6" t="inlineStr">
        <is>
          <t>Information sessions support</t>
        </is>
      </c>
      <c r="C20" s="35" t="inlineStr"/>
      <c r="E20" s="2" t="inlineStr">
        <is>
          <t>v4 Budget Master, R5 000 across Aug and Sep 2026. Enter the sprint portion.</t>
        </is>
      </c>
    </row>
    <row r="21">
      <c r="B21" s="6" t="inlineStr">
        <is>
          <t>Travel and fuel</t>
        </is>
      </c>
      <c r="C21" s="35" t="inlineStr"/>
      <c r="E21" s="2" t="inlineStr">
        <is>
          <t>Actual, from expense claims.</t>
        </is>
      </c>
    </row>
    <row r="22">
      <c r="B22" s="6" t="inlineStr">
        <is>
          <t>Printed material and QR codes</t>
        </is>
      </c>
      <c r="C22" s="35" t="inlineStr"/>
      <c r="E22" s="2" t="inlineStr">
        <is>
          <t>Actual.</t>
        </is>
      </c>
    </row>
    <row r="23">
      <c r="B23" s="5" t="inlineStr">
        <is>
          <t>Total GE2 sprint cost</t>
        </is>
      </c>
      <c r="C23" s="36">
        <f>SUM(C19:C22)</f>
        <v/>
      </c>
    </row>
    <row r="24">
      <c r="B24" s="5" t="inlineStr">
        <is>
          <t>Cost per sale, school engine</t>
        </is>
      </c>
      <c r="C24" s="36">
        <f>IFERROR(C23/SUM('05_Daily_Log'!K8:K21),0)</f>
        <v/>
      </c>
      <c r="D24" s="59">
        <f>'03_Sprint_Drivers'!$C$26</f>
        <v/>
      </c>
      <c r="E24" s="2" t="inlineStr">
        <is>
          <t>Directly comparable with the paid media cost per sale on 05. This comparison is the point of the sprint.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L25"/>
  <sheetViews>
    <sheetView workbookViewId="0">
      <selection activeCell="A1" sqref="A1"/>
    </sheetView>
  </sheetViews>
  <sheetFormatPr baseColWidth="8" defaultRowHeight="15"/>
  <cols>
    <col width="3" customWidth="1" min="1" max="1"/>
    <col width="6" customWidth="1" min="2" max="2"/>
    <col width="30" customWidth="1" min="3" max="3"/>
    <col width="18" customWidth="1" min="4" max="4"/>
    <col width="14" customWidth="1" min="5" max="5"/>
    <col width="22" customWidth="1" min="6" max="6"/>
    <col width="11" customWidth="1" min="7" max="7"/>
    <col width="15" customWidth="1" min="8" max="8"/>
    <col width="16" customWidth="1" min="9" max="9"/>
    <col width="20" customWidth="1" min="10" max="10"/>
    <col width="14" customWidth="1" min="11" max="11"/>
    <col width="30" customWidth="1" min="12" max="12"/>
  </cols>
  <sheetData>
    <row r="2" ht="27" customHeight="1">
      <c r="B2" s="1" t="inlineStr">
        <is>
          <t>SCHOOL VISITS</t>
        </is>
      </c>
    </row>
    <row r="3" ht="13" customHeight="1">
      <c r="B3" s="2" t="inlineStr">
        <is>
          <t>Owner: Schools Coordinator. Logged the same day as the visit. Week 1 is assigned from the six active Phase 2 pilots. Week 2 is assigned at the day 8 stand up.</t>
        </is>
      </c>
    </row>
    <row r="5" ht="20" customHeight="1">
      <c r="B5" s="3" t="inlineStr">
        <is>
          <t>Week 1: Tue 25, Wed 26, Thu 27 August</t>
        </is>
      </c>
      <c r="C5" s="4" t="n"/>
      <c r="D5" s="4" t="n"/>
      <c r="E5" s="4" t="n"/>
      <c r="F5" s="4" t="n"/>
      <c r="G5" s="4" t="n"/>
      <c r="H5" s="4" t="n"/>
      <c r="I5" s="4" t="n"/>
      <c r="J5" s="4" t="n"/>
      <c r="K5" s="4" t="n"/>
    </row>
    <row r="6" ht="26" customHeight="1">
      <c r="B6" s="11" t="inlineStr">
        <is>
          <t>#</t>
        </is>
      </c>
      <c r="C6" s="11" t="inlineStr">
        <is>
          <t>School</t>
        </is>
      </c>
      <c r="D6" s="11" t="inlineStr">
        <is>
          <t>Region</t>
        </is>
      </c>
      <c r="E6" s="11" t="inlineStr">
        <is>
          <t>Date</t>
        </is>
      </c>
      <c r="F6" s="11" t="inlineStr">
        <is>
          <t>Owner</t>
        </is>
      </c>
      <c r="G6" s="11" t="inlineStr">
        <is>
          <t>Status</t>
        </is>
      </c>
      <c r="H6" s="11" t="inlineStr">
        <is>
          <t>Parents reached</t>
        </is>
      </c>
      <c r="I6" s="11" t="inlineStr">
        <is>
          <t>Signups captured</t>
        </is>
      </c>
      <c r="J6" s="11" t="inlineStr">
        <is>
          <t>UTM content tag</t>
        </is>
      </c>
      <c r="K6" s="11" t="inlineStr">
        <is>
          <t>Sales attributed</t>
        </is>
      </c>
      <c r="L6" s="11" t="inlineStr">
        <is>
          <t>Notes</t>
        </is>
      </c>
    </row>
    <row r="7">
      <c r="B7" s="37" t="n">
        <v>1</v>
      </c>
      <c r="C7" s="12" t="inlineStr">
        <is>
          <t>Kingsmead</t>
        </is>
      </c>
      <c r="D7" s="13" t="inlineStr">
        <is>
          <t>KZN (Durban)</t>
        </is>
      </c>
      <c r="E7" s="38" t="n">
        <v>46259</v>
      </c>
      <c r="F7" s="12" t="inlineStr">
        <is>
          <t>TBC</t>
        </is>
      </c>
      <c r="G7" s="40" t="inlineStr">
        <is>
          <t>PLANNED</t>
        </is>
      </c>
      <c r="H7" s="26" t="n"/>
      <c r="I7" s="26" t="n"/>
      <c r="J7" s="12" t="inlineStr">
        <is>
          <t>school-kingsmead</t>
        </is>
      </c>
      <c r="K7" s="26" t="n"/>
      <c r="L7" s="12" t="n"/>
    </row>
    <row r="8">
      <c r="B8" s="37" t="n">
        <v>2</v>
      </c>
      <c r="C8" s="12" t="inlineStr">
        <is>
          <t>St Albans</t>
        </is>
      </c>
      <c r="D8" s="13" t="inlineStr">
        <is>
          <t>EC (Port Elizabeth)</t>
        </is>
      </c>
      <c r="E8" s="38" t="n">
        <v>46259</v>
      </c>
      <c r="F8" s="12" t="inlineStr">
        <is>
          <t>TBC</t>
        </is>
      </c>
      <c r="G8" s="40" t="inlineStr">
        <is>
          <t>PLANNED</t>
        </is>
      </c>
      <c r="H8" s="26" t="n"/>
      <c r="I8" s="26" t="n"/>
      <c r="J8" s="12" t="inlineStr">
        <is>
          <t>school-st</t>
        </is>
      </c>
      <c r="K8" s="26" t="n"/>
      <c r="L8" s="12" t="n"/>
    </row>
    <row r="9">
      <c r="B9" s="37" t="n">
        <v>3</v>
      </c>
      <c r="C9" s="12" t="inlineStr">
        <is>
          <t>Dainfern College</t>
        </is>
      </c>
      <c r="D9" s="13" t="inlineStr">
        <is>
          <t>GP (JHB North)</t>
        </is>
      </c>
      <c r="E9" s="38" t="n">
        <v>46260</v>
      </c>
      <c r="F9" s="12" t="inlineStr">
        <is>
          <t>TBC</t>
        </is>
      </c>
      <c r="G9" s="40" t="inlineStr">
        <is>
          <t>PLANNED</t>
        </is>
      </c>
      <c r="H9" s="26" t="n"/>
      <c r="I9" s="26" t="n"/>
      <c r="J9" s="12" t="inlineStr">
        <is>
          <t>school-dainfern</t>
        </is>
      </c>
      <c r="K9" s="26" t="n"/>
      <c r="L9" s="12" t="n"/>
    </row>
    <row r="10">
      <c r="B10" s="37" t="n">
        <v>4</v>
      </c>
      <c r="C10" s="12" t="inlineStr">
        <is>
          <t>Umtata International</t>
        </is>
      </c>
      <c r="D10" s="13" t="inlineStr">
        <is>
          <t>EC (Mthatha)</t>
        </is>
      </c>
      <c r="E10" s="38" t="n">
        <v>46260</v>
      </c>
      <c r="F10" s="12" t="inlineStr">
        <is>
          <t>TBC</t>
        </is>
      </c>
      <c r="G10" s="40" t="inlineStr">
        <is>
          <t>PLANNED</t>
        </is>
      </c>
      <c r="H10" s="26" t="n"/>
      <c r="I10" s="26" t="n"/>
      <c r="J10" s="12" t="inlineStr">
        <is>
          <t>school-umtata</t>
        </is>
      </c>
      <c r="K10" s="26" t="n"/>
      <c r="L10" s="12" t="n"/>
    </row>
    <row r="11">
      <c r="B11" s="37" t="n">
        <v>5</v>
      </c>
      <c r="C11" s="12" t="inlineStr">
        <is>
          <t>St Jude Private</t>
        </is>
      </c>
      <c r="D11" s="13" t="inlineStr">
        <is>
          <t>EC</t>
        </is>
      </c>
      <c r="E11" s="38" t="n">
        <v>46261</v>
      </c>
      <c r="F11" s="12" t="inlineStr">
        <is>
          <t>TBC</t>
        </is>
      </c>
      <c r="G11" s="40" t="inlineStr">
        <is>
          <t>PLANNED</t>
        </is>
      </c>
      <c r="H11" s="26" t="n"/>
      <c r="I11" s="26" t="n"/>
      <c r="J11" s="12" t="inlineStr">
        <is>
          <t>school-st</t>
        </is>
      </c>
      <c r="K11" s="26" t="n"/>
      <c r="L11" s="12" t="n"/>
    </row>
    <row r="12">
      <c r="B12" s="37" t="n">
        <v>6</v>
      </c>
      <c r="C12" s="12" t="inlineStr">
        <is>
          <t>Christ The King International</t>
        </is>
      </c>
      <c r="D12" s="13" t="inlineStr">
        <is>
          <t>EC</t>
        </is>
      </c>
      <c r="E12" s="38" t="n">
        <v>46261</v>
      </c>
      <c r="F12" s="12" t="inlineStr">
        <is>
          <t>TBC</t>
        </is>
      </c>
      <c r="G12" s="40" t="inlineStr">
        <is>
          <t>PLANNED</t>
        </is>
      </c>
      <c r="H12" s="26" t="n"/>
      <c r="I12" s="26" t="n"/>
      <c r="J12" s="12" t="inlineStr">
        <is>
          <t>school-christ</t>
        </is>
      </c>
      <c r="K12" s="26" t="n"/>
      <c r="L12" s="12" t="n"/>
    </row>
    <row r="14" ht="20" customHeight="1">
      <c r="B14" s="3" t="inlineStr">
        <is>
          <t>Week 2: Tue 1, Wed 2, Thu 3 September. Schools assigned at the day 8 stand up</t>
        </is>
      </c>
      <c r="C14" s="4" t="n"/>
      <c r="D14" s="4" t="n"/>
      <c r="E14" s="4" t="n"/>
      <c r="F14" s="4" t="n"/>
      <c r="G14" s="4" t="n"/>
      <c r="H14" s="4" t="n"/>
      <c r="I14" s="4" t="n"/>
      <c r="J14" s="4" t="n"/>
      <c r="K14" s="4" t="n"/>
    </row>
    <row r="15" ht="26" customHeight="1">
      <c r="B15" s="11" t="inlineStr">
        <is>
          <t>#</t>
        </is>
      </c>
      <c r="C15" s="11" t="inlineStr">
        <is>
          <t>School</t>
        </is>
      </c>
      <c r="D15" s="11" t="inlineStr">
        <is>
          <t>Region</t>
        </is>
      </c>
      <c r="E15" s="11" t="inlineStr">
        <is>
          <t>Date</t>
        </is>
      </c>
      <c r="F15" s="11" t="inlineStr">
        <is>
          <t>Owner</t>
        </is>
      </c>
      <c r="G15" s="11" t="inlineStr">
        <is>
          <t>Status</t>
        </is>
      </c>
      <c r="H15" s="11" t="inlineStr">
        <is>
          <t>Parents reached</t>
        </is>
      </c>
      <c r="I15" s="11" t="inlineStr">
        <is>
          <t>Signups captured</t>
        </is>
      </c>
      <c r="J15" s="11" t="inlineStr">
        <is>
          <t>UTM content tag</t>
        </is>
      </c>
      <c r="K15" s="11" t="inlineStr">
        <is>
          <t>Sales attributed</t>
        </is>
      </c>
      <c r="L15" s="11" t="inlineStr">
        <is>
          <t>Notes</t>
        </is>
      </c>
    </row>
    <row r="16">
      <c r="B16" s="37" t="n">
        <v>7</v>
      </c>
      <c r="C16" s="12" t="n"/>
      <c r="D16" s="12" t="n"/>
      <c r="E16" s="38" t="n">
        <v>46266</v>
      </c>
      <c r="F16" s="12" t="n"/>
      <c r="G16" s="40" t="inlineStr">
        <is>
          <t>PLANNED</t>
        </is>
      </c>
      <c r="H16" s="26" t="n"/>
      <c r="I16" s="26" t="n"/>
      <c r="J16" s="12" t="n"/>
      <c r="K16" s="26" t="n"/>
      <c r="L16" s="12" t="n"/>
    </row>
    <row r="17">
      <c r="B17" s="37" t="n">
        <v>8</v>
      </c>
      <c r="C17" s="12" t="n"/>
      <c r="D17" s="12" t="n"/>
      <c r="E17" s="38" t="n">
        <v>46266</v>
      </c>
      <c r="F17" s="12" t="n"/>
      <c r="G17" s="40" t="inlineStr">
        <is>
          <t>PLANNED</t>
        </is>
      </c>
      <c r="H17" s="26" t="n"/>
      <c r="I17" s="26" t="n"/>
      <c r="J17" s="12" t="n"/>
      <c r="K17" s="26" t="n"/>
      <c r="L17" s="12" t="n"/>
    </row>
    <row r="18">
      <c r="B18" s="37" t="n">
        <v>9</v>
      </c>
      <c r="C18" s="12" t="n"/>
      <c r="D18" s="12" t="n"/>
      <c r="E18" s="38" t="n">
        <v>46267</v>
      </c>
      <c r="F18" s="12" t="n"/>
      <c r="G18" s="40" t="inlineStr">
        <is>
          <t>PLANNED</t>
        </is>
      </c>
      <c r="H18" s="26" t="n"/>
      <c r="I18" s="26" t="n"/>
      <c r="J18" s="12" t="n"/>
      <c r="K18" s="26" t="n"/>
      <c r="L18" s="12" t="n"/>
    </row>
    <row r="19">
      <c r="B19" s="37" t="n">
        <v>10</v>
      </c>
      <c r="C19" s="12" t="n"/>
      <c r="D19" s="12" t="n"/>
      <c r="E19" s="38" t="n">
        <v>46267</v>
      </c>
      <c r="F19" s="12" t="n"/>
      <c r="G19" s="40" t="inlineStr">
        <is>
          <t>PLANNED</t>
        </is>
      </c>
      <c r="H19" s="26" t="n"/>
      <c r="I19" s="26" t="n"/>
      <c r="J19" s="12" t="n"/>
      <c r="K19" s="26" t="n"/>
      <c r="L19" s="12" t="n"/>
    </row>
    <row r="20">
      <c r="B20" s="37" t="n">
        <v>11</v>
      </c>
      <c r="C20" s="12" t="n"/>
      <c r="D20" s="12" t="n"/>
      <c r="E20" s="38" t="n">
        <v>46268</v>
      </c>
      <c r="F20" s="12" t="n"/>
      <c r="G20" s="40" t="inlineStr">
        <is>
          <t>PLANNED</t>
        </is>
      </c>
      <c r="H20" s="26" t="n"/>
      <c r="I20" s="26" t="n"/>
      <c r="J20" s="12" t="n"/>
      <c r="K20" s="26" t="n"/>
      <c r="L20" s="12" t="n"/>
    </row>
    <row r="21">
      <c r="B21" s="37" t="n">
        <v>12</v>
      </c>
      <c r="C21" s="12" t="n"/>
      <c r="D21" s="12" t="n"/>
      <c r="E21" s="38" t="n">
        <v>46268</v>
      </c>
      <c r="F21" s="12" t="n"/>
      <c r="G21" s="40" t="inlineStr">
        <is>
          <t>PLANNED</t>
        </is>
      </c>
      <c r="H21" s="26" t="n"/>
      <c r="I21" s="26" t="n"/>
      <c r="J21" s="12" t="n"/>
      <c r="K21" s="26" t="n"/>
      <c r="L21" s="12" t="n"/>
    </row>
    <row r="23">
      <c r="B23" s="2" t="inlineStr">
        <is>
          <t>Reference: the Phase 2 pool is 6 active pilots (Kingsmead, St Albans, Dainfern College, Umtata International, St Jude Private, Christ The King International) plus 2 backups (Strategic High, Excelsior High). Source: v4 sheet 07_Pilot_Schools.</t>
        </is>
      </c>
    </row>
    <row r="24">
      <c r="B24" s="2" t="inlineStr">
        <is>
          <t>Every visit carries a QR code whose link is registered in 09_UTM_Register with utm_content set to the tag in column J. A visit with no tag produces sales nobody can attribute to it.</t>
        </is>
      </c>
    </row>
    <row r="25">
      <c r="B25" s="2" t="inlineStr">
        <is>
          <t>Signups captured here must equal the GE2 signups captured entered in 05_Daily_Log for the same date.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K23"/>
  <sheetViews>
    <sheetView workbookViewId="0">
      <selection activeCell="A1" sqref="A1"/>
    </sheetView>
  </sheetViews>
  <sheetFormatPr baseColWidth="8" defaultRowHeight="15"/>
  <cols>
    <col width="3" customWidth="1" min="1" max="1"/>
    <col width="30" customWidth="1" min="2" max="2"/>
    <col width="16" customWidth="1" min="3" max="3"/>
    <col width="14" customWidth="1" min="4" max="4"/>
    <col width="22" customWidth="1" min="5" max="5"/>
    <col width="22" customWidth="1" min="6" max="6"/>
    <col width="40" customWidth="1" min="7" max="7"/>
    <col width="74" customWidth="1" min="8" max="8"/>
    <col width="8" customWidth="1" min="9" max="9"/>
    <col width="20" customWidth="1" min="10" max="10"/>
    <col width="12" customWidth="1" min="11" max="11"/>
  </cols>
  <sheetData>
    <row r="2" ht="27" customHeight="1">
      <c r="B2" s="1" t="inlineStr">
        <is>
          <t>UTM REGISTER</t>
        </is>
      </c>
    </row>
    <row r="3" ht="13" customHeight="1">
      <c r="B3" s="2" t="inlineStr">
        <is>
          <t>Every link used in the sprint. A link that is not on this sheet cannot be attributed, so the sale it produces counts for nobody.</t>
        </is>
      </c>
    </row>
    <row r="5" ht="20" customHeight="1">
      <c r="B5" s="3" t="inlineStr">
        <is>
          <t>Type into the yellow cells. Column H builds itself</t>
        </is>
      </c>
      <c r="C5" s="4" t="n"/>
      <c r="D5" s="4" t="n"/>
      <c r="E5" s="4" t="n"/>
      <c r="F5" s="4" t="n"/>
      <c r="G5" s="4" t="n"/>
      <c r="H5" s="4" t="n"/>
      <c r="I5" s="4" t="n"/>
      <c r="J5" s="4" t="n"/>
    </row>
    <row r="6" ht="26" customHeight="1">
      <c r="B6" s="11" t="inlineStr">
        <is>
          <t>Purpose</t>
        </is>
      </c>
      <c r="C6" s="11" t="inlineStr">
        <is>
          <t>Source</t>
        </is>
      </c>
      <c r="D6" s="11" t="inlineStr">
        <is>
          <t>Medium</t>
        </is>
      </c>
      <c r="E6" s="11" t="inlineStr">
        <is>
          <t>Campaign</t>
        </is>
      </c>
      <c r="F6" s="11" t="inlineStr">
        <is>
          <t>Content</t>
        </is>
      </c>
      <c r="G6" s="11" t="inlineStr">
        <is>
          <t>Landing URL</t>
        </is>
      </c>
      <c r="H6" s="11" t="inlineStr">
        <is>
          <t>Tagged URL, copy this one</t>
        </is>
      </c>
      <c r="I6" s="11" t="inlineStr">
        <is>
          <t>GE</t>
        </is>
      </c>
      <c r="J6" s="11" t="inlineStr">
        <is>
          <t>Owner</t>
        </is>
      </c>
      <c r="K6" s="11" t="inlineStr">
        <is>
          <t>Live from</t>
        </is>
      </c>
    </row>
    <row r="7">
      <c r="B7" s="6" t="inlineStr">
        <is>
          <t>Meta paid, parent audience</t>
        </is>
      </c>
      <c r="C7" s="12" t="inlineStr">
        <is>
          <t>meta</t>
        </is>
      </c>
      <c r="D7" s="12" t="inlineStr">
        <is>
          <t>paid-social</t>
        </is>
      </c>
      <c r="E7" s="12" t="inlineStr">
        <is>
          <t>qualifying-sprint</t>
        </is>
      </c>
      <c r="F7" s="12" t="inlineStr">
        <is>
          <t>meta-set-a</t>
        </is>
      </c>
      <c r="G7" s="12" t="inlineStr">
        <is>
          <t>https://bridgeapp.co.za/uniapply-parents</t>
        </is>
      </c>
      <c r="H7" s="63">
        <f>IF(OR(G7="",C7="",D7=""),"",G7&amp;"?utm_source="&amp;SUBSTITUTE(SUBSTITUTE(SUBSTITUTE(LOWER(TRIM(C7))," ","-"),"/","-"),"--","-")&amp;"&amp;utm_medium="&amp;SUBSTITUTE(SUBSTITUTE(SUBSTITUTE(LOWER(TRIM(D7))," ","-"),"/","-"),"--","-")&amp;IF(E7="","","&amp;utm_campaign="&amp;SUBSTITUTE(SUBSTITUTE(SUBSTITUTE(LOWER(TRIM(E7))," ","-"),"/","-"),"--","-"))&amp;IF(F7="","","&amp;utm_content="&amp;SUBSTITUTE(SUBSTITUTE(SUBSTITUTE(LOWER(TRIM(F7))," ","-"),"/","-"),"--","-")))</f>
        <v/>
      </c>
      <c r="I7" s="41" t="inlineStr">
        <is>
          <t>GE1</t>
        </is>
      </c>
      <c r="J7" s="12" t="inlineStr">
        <is>
          <t>TBC</t>
        </is>
      </c>
      <c r="K7" s="64" t="n"/>
    </row>
    <row r="8">
      <c r="B8" s="6" t="inlineStr">
        <is>
          <t>Meta paid, retargeting July leads</t>
        </is>
      </c>
      <c r="C8" s="12" t="inlineStr">
        <is>
          <t>meta</t>
        </is>
      </c>
      <c r="D8" s="12" t="inlineStr">
        <is>
          <t>paid-social</t>
        </is>
      </c>
      <c r="E8" s="12" t="inlineStr">
        <is>
          <t>qualifying-sprint</t>
        </is>
      </c>
      <c r="F8" s="12" t="inlineStr">
        <is>
          <t>meta-retarget</t>
        </is>
      </c>
      <c r="G8" s="12" t="inlineStr">
        <is>
          <t>https://bridgeapp.co.za/uniapply-parents</t>
        </is>
      </c>
      <c r="H8" s="63">
        <f>IF(OR(G8="",C8="",D8=""),"",G8&amp;"?utm_source="&amp;SUBSTITUTE(SUBSTITUTE(SUBSTITUTE(LOWER(TRIM(C8))," ","-"),"/","-"),"--","-")&amp;"&amp;utm_medium="&amp;SUBSTITUTE(SUBSTITUTE(SUBSTITUTE(LOWER(TRIM(D8))," ","-"),"/","-"),"--","-")&amp;IF(E8="","","&amp;utm_campaign="&amp;SUBSTITUTE(SUBSTITUTE(SUBSTITUTE(LOWER(TRIM(E8))," ","-"),"/","-"),"--","-"))&amp;IF(F8="","","&amp;utm_content="&amp;SUBSTITUTE(SUBSTITUTE(SUBSTITUTE(LOWER(TRIM(F8))," ","-"),"/","-"),"--","-")))</f>
        <v/>
      </c>
      <c r="I8" s="41" t="inlineStr">
        <is>
          <t>GE1</t>
        </is>
      </c>
      <c r="J8" s="12" t="inlineStr">
        <is>
          <t>TBC</t>
        </is>
      </c>
      <c r="K8" s="64" t="n"/>
    </row>
    <row r="9">
      <c r="B9" s="6" t="inlineStr">
        <is>
          <t>Google paid search, brand</t>
        </is>
      </c>
      <c r="C9" s="12" t="inlineStr">
        <is>
          <t>google</t>
        </is>
      </c>
      <c r="D9" s="12" t="inlineStr">
        <is>
          <t>paid-search</t>
        </is>
      </c>
      <c r="E9" s="12" t="inlineStr">
        <is>
          <t>qualifying-sprint</t>
        </is>
      </c>
      <c r="F9" s="12" t="inlineStr">
        <is>
          <t>brand</t>
        </is>
      </c>
      <c r="G9" s="12" t="inlineStr">
        <is>
          <t>https://bridgeapp.co.za/uniapply-parents</t>
        </is>
      </c>
      <c r="H9" s="63">
        <f>IF(OR(G9="",C9="",D9=""),"",G9&amp;"?utm_source="&amp;SUBSTITUTE(SUBSTITUTE(SUBSTITUTE(LOWER(TRIM(C9))," ","-"),"/","-"),"--","-")&amp;"&amp;utm_medium="&amp;SUBSTITUTE(SUBSTITUTE(SUBSTITUTE(LOWER(TRIM(D9))," ","-"),"/","-"),"--","-")&amp;IF(E9="","","&amp;utm_campaign="&amp;SUBSTITUTE(SUBSTITUTE(SUBSTITUTE(LOWER(TRIM(E9))," ","-"),"/","-"),"--","-"))&amp;IF(F9="","","&amp;utm_content="&amp;SUBSTITUTE(SUBSTITUTE(SUBSTITUTE(LOWER(TRIM(F9))," ","-"),"/","-"),"--","-")))</f>
        <v/>
      </c>
      <c r="I9" s="41" t="inlineStr">
        <is>
          <t>GE1</t>
        </is>
      </c>
      <c r="J9" s="12" t="inlineStr">
        <is>
          <t>TBC</t>
        </is>
      </c>
      <c r="K9" s="64" t="n"/>
    </row>
    <row r="10">
      <c r="B10" s="6" t="inlineStr">
        <is>
          <t>LinkedIn paid, school leaders</t>
        </is>
      </c>
      <c r="C10" s="12" t="inlineStr">
        <is>
          <t>linkedin</t>
        </is>
      </c>
      <c r="D10" s="12" t="inlineStr">
        <is>
          <t>paid-social</t>
        </is>
      </c>
      <c r="E10" s="12" t="inlineStr">
        <is>
          <t>qualifying-sprint</t>
        </is>
      </c>
      <c r="F10" s="12" t="inlineStr">
        <is>
          <t>school-leaders</t>
        </is>
      </c>
      <c r="G10" s="12" t="inlineStr">
        <is>
          <t>https://bridgeapp.co.za/uniapply-parents</t>
        </is>
      </c>
      <c r="H10" s="63">
        <f>IF(OR(G10="",C10="",D10=""),"",G10&amp;"?utm_source="&amp;SUBSTITUTE(SUBSTITUTE(SUBSTITUTE(LOWER(TRIM(C10))," ","-"),"/","-"),"--","-")&amp;"&amp;utm_medium="&amp;SUBSTITUTE(SUBSTITUTE(SUBSTITUTE(LOWER(TRIM(D10))," ","-"),"/","-"),"--","-")&amp;IF(E10="","","&amp;utm_campaign="&amp;SUBSTITUTE(SUBSTITUTE(SUBSTITUTE(LOWER(TRIM(E10))," ","-"),"/","-"),"--","-"))&amp;IF(F10="","","&amp;utm_content="&amp;SUBSTITUTE(SUBSTITUTE(SUBSTITUTE(LOWER(TRIM(F10))," ","-"),"/","-"),"--","-")))</f>
        <v/>
      </c>
      <c r="I10" s="41" t="inlineStr">
        <is>
          <t>GE1</t>
        </is>
      </c>
      <c r="J10" s="12" t="inlineStr">
        <is>
          <t>TBC</t>
        </is>
      </c>
      <c r="K10" s="64" t="n"/>
    </row>
    <row r="11">
      <c r="B11" s="6" t="inlineStr">
        <is>
          <t>Boosted organic, best of last week</t>
        </is>
      </c>
      <c r="C11" s="12" t="inlineStr">
        <is>
          <t>facebook</t>
        </is>
      </c>
      <c r="D11" s="12" t="inlineStr">
        <is>
          <t>boosted</t>
        </is>
      </c>
      <c r="E11" s="12" t="inlineStr">
        <is>
          <t>qualifying-sprint</t>
        </is>
      </c>
      <c r="F11" s="12" t="inlineStr">
        <is>
          <t>weekly-boost</t>
        </is>
      </c>
      <c r="G11" s="12" t="inlineStr">
        <is>
          <t>https://bridgeapp.co.za/uniapply-parents</t>
        </is>
      </c>
      <c r="H11" s="63">
        <f>IF(OR(G11="",C11="",D11=""),"",G11&amp;"?utm_source="&amp;SUBSTITUTE(SUBSTITUTE(SUBSTITUTE(LOWER(TRIM(C11))," ","-"),"/","-"),"--","-")&amp;"&amp;utm_medium="&amp;SUBSTITUTE(SUBSTITUTE(SUBSTITUTE(LOWER(TRIM(D11))," ","-"),"/","-"),"--","-")&amp;IF(E11="","","&amp;utm_campaign="&amp;SUBSTITUTE(SUBSTITUTE(SUBSTITUTE(LOWER(TRIM(E11))," ","-"),"/","-"),"--","-"))&amp;IF(F11="","","&amp;utm_content="&amp;SUBSTITUTE(SUBSTITUTE(SUBSTITUTE(LOWER(TRIM(F11))," ","-"),"/","-"),"--","-")))</f>
        <v/>
      </c>
      <c r="I11" s="41" t="inlineStr">
        <is>
          <t>GE1</t>
        </is>
      </c>
      <c r="J11" s="12" t="inlineStr">
        <is>
          <t>TBC</t>
        </is>
      </c>
      <c r="K11" s="64" t="n"/>
    </row>
    <row r="12">
      <c r="B12" s="6" t="inlineStr">
        <is>
          <t>Influencer Wave 3, GP creator</t>
        </is>
      </c>
      <c r="C12" s="12" t="inlineStr">
        <is>
          <t>influencer</t>
        </is>
      </c>
      <c r="D12" s="12" t="inlineStr">
        <is>
          <t>referral</t>
        </is>
      </c>
      <c r="E12" s="12" t="inlineStr">
        <is>
          <t>qualifying-sprint</t>
        </is>
      </c>
      <c r="F12" s="12" t="inlineStr">
        <is>
          <t>wave-3-gp</t>
        </is>
      </c>
      <c r="G12" s="12" t="inlineStr">
        <is>
          <t>https://bridgeapp.co.za/uniapply-parents</t>
        </is>
      </c>
      <c r="H12" s="63">
        <f>IF(OR(G12="",C12="",D12=""),"",G12&amp;"?utm_source="&amp;SUBSTITUTE(SUBSTITUTE(SUBSTITUTE(LOWER(TRIM(C12))," ","-"),"/","-"),"--","-")&amp;"&amp;utm_medium="&amp;SUBSTITUTE(SUBSTITUTE(SUBSTITUTE(LOWER(TRIM(D12))," ","-"),"/","-"),"--","-")&amp;IF(E12="","","&amp;utm_campaign="&amp;SUBSTITUTE(SUBSTITUTE(SUBSTITUTE(LOWER(TRIM(E12))," ","-"),"/","-"),"--","-"))&amp;IF(F12="","","&amp;utm_content="&amp;SUBSTITUTE(SUBSTITUTE(SUBSTITUTE(LOWER(TRIM(F12))," ","-"),"/","-"),"--","-")))</f>
        <v/>
      </c>
      <c r="I12" s="41" t="inlineStr">
        <is>
          <t>GE1</t>
        </is>
      </c>
      <c r="J12" s="12" t="inlineStr">
        <is>
          <t>TBC</t>
        </is>
      </c>
      <c r="K12" s="64" t="n"/>
    </row>
    <row r="13">
      <c r="B13" s="6" t="inlineStr">
        <is>
          <t>Instagram bio link</t>
        </is>
      </c>
      <c r="C13" s="12" t="inlineStr">
        <is>
          <t>instagram</t>
        </is>
      </c>
      <c r="D13" s="12" t="inlineStr">
        <is>
          <t>organic-social</t>
        </is>
      </c>
      <c r="E13" s="12" t="inlineStr">
        <is>
          <t>qualifying-sprint</t>
        </is>
      </c>
      <c r="F13" s="12" t="inlineStr">
        <is>
          <t>bio-link</t>
        </is>
      </c>
      <c r="G13" s="12" t="inlineStr">
        <is>
          <t>https://bridgeapp.co.za/uniapply-parents</t>
        </is>
      </c>
      <c r="H13" s="63">
        <f>IF(OR(G13="",C13="",D13=""),"",G13&amp;"?utm_source="&amp;SUBSTITUTE(SUBSTITUTE(SUBSTITUTE(LOWER(TRIM(C13))," ","-"),"/","-"),"--","-")&amp;"&amp;utm_medium="&amp;SUBSTITUTE(SUBSTITUTE(SUBSTITUTE(LOWER(TRIM(D13))," ","-"),"/","-"),"--","-")&amp;IF(E13="","","&amp;utm_campaign="&amp;SUBSTITUTE(SUBSTITUTE(SUBSTITUTE(LOWER(TRIM(E13))," ","-"),"/","-"),"--","-"))&amp;IF(F13="","","&amp;utm_content="&amp;SUBSTITUTE(SUBSTITUTE(SUBSTITUTE(LOWER(TRIM(F13))," ","-"),"/","-"),"--","-")))</f>
        <v/>
      </c>
      <c r="I13" s="41" t="inlineStr">
        <is>
          <t>GE1</t>
        </is>
      </c>
      <c r="J13" s="12" t="inlineStr">
        <is>
          <t>TBC</t>
        </is>
      </c>
      <c r="K13" s="64" t="n"/>
    </row>
    <row r="14">
      <c r="B14" s="6" t="inlineStr">
        <is>
          <t>WhatsApp concierge broadcast</t>
        </is>
      </c>
      <c r="C14" s="12" t="inlineStr">
        <is>
          <t>whatsapp</t>
        </is>
      </c>
      <c r="D14" s="12" t="inlineStr">
        <is>
          <t>message</t>
        </is>
      </c>
      <c r="E14" s="12" t="inlineStr">
        <is>
          <t>qualifying-sprint</t>
        </is>
      </c>
      <c r="F14" s="12" t="inlineStr">
        <is>
          <t>broadcast</t>
        </is>
      </c>
      <c r="G14" s="12" t="inlineStr">
        <is>
          <t>https://bridgeapp.co.za/uniapply-parents</t>
        </is>
      </c>
      <c r="H14" s="63">
        <f>IF(OR(G14="",C14="",D14=""),"",G14&amp;"?utm_source="&amp;SUBSTITUTE(SUBSTITUTE(SUBSTITUTE(LOWER(TRIM(C14))," ","-"),"/","-"),"--","-")&amp;"&amp;utm_medium="&amp;SUBSTITUTE(SUBSTITUTE(SUBSTITUTE(LOWER(TRIM(D14))," ","-"),"/","-"),"--","-")&amp;IF(E14="","","&amp;utm_campaign="&amp;SUBSTITUTE(SUBSTITUTE(SUBSTITUTE(LOWER(TRIM(E14))," ","-"),"/","-"),"--","-"))&amp;IF(F14="","","&amp;utm_content="&amp;SUBSTITUTE(SUBSTITUTE(SUBSTITUTE(LOWER(TRIM(F14))," ","-"),"/","-"),"--","-")))</f>
        <v/>
      </c>
      <c r="I14" s="41" t="inlineStr">
        <is>
          <t>GE1</t>
        </is>
      </c>
      <c r="J14" s="12" t="inlineStr">
        <is>
          <t>TBC</t>
        </is>
      </c>
      <c r="K14" s="64" t="n"/>
    </row>
    <row r="15">
      <c r="B15" s="6" t="inlineStr">
        <is>
          <t>Nurture emailer</t>
        </is>
      </c>
      <c r="C15" s="12" t="inlineStr">
        <is>
          <t>email</t>
        </is>
      </c>
      <c r="D15" s="12" t="inlineStr">
        <is>
          <t>email</t>
        </is>
      </c>
      <c r="E15" s="12" t="inlineStr">
        <is>
          <t>qualifying-sprint</t>
        </is>
      </c>
      <c r="F15" s="12" t="inlineStr">
        <is>
          <t>nurture-1</t>
        </is>
      </c>
      <c r="G15" s="12" t="inlineStr">
        <is>
          <t>https://bridgeapp.co.za/uniapply-parents</t>
        </is>
      </c>
      <c r="H15" s="63">
        <f>IF(OR(G15="",C15="",D15=""),"",G15&amp;"?utm_source="&amp;SUBSTITUTE(SUBSTITUTE(SUBSTITUTE(LOWER(TRIM(C15))," ","-"),"/","-"),"--","-")&amp;"&amp;utm_medium="&amp;SUBSTITUTE(SUBSTITUTE(SUBSTITUTE(LOWER(TRIM(D15))," ","-"),"/","-"),"--","-")&amp;IF(E15="","","&amp;utm_campaign="&amp;SUBSTITUTE(SUBSTITUTE(SUBSTITUTE(LOWER(TRIM(E15))," ","-"),"/","-"),"--","-"))&amp;IF(F15="","","&amp;utm_content="&amp;SUBSTITUTE(SUBSTITUTE(SUBSTITUTE(LOWER(TRIM(F15))," ","-"),"/","-"),"--","-")))</f>
        <v/>
      </c>
      <c r="I15" s="41" t="inlineStr">
        <is>
          <t>GE1</t>
        </is>
      </c>
      <c r="J15" s="12" t="inlineStr">
        <is>
          <t>TBC</t>
        </is>
      </c>
      <c r="K15" s="64" t="n"/>
    </row>
    <row r="16">
      <c r="B16" s="6" t="inlineStr">
        <is>
          <t>School visit QR, generic</t>
        </is>
      </c>
      <c r="C16" s="12" t="inlineStr">
        <is>
          <t>school-visits</t>
        </is>
      </c>
      <c r="D16" s="12" t="inlineStr">
        <is>
          <t>qr</t>
        </is>
      </c>
      <c r="E16" s="12" t="inlineStr">
        <is>
          <t>qualifying-sprint</t>
        </is>
      </c>
      <c r="F16" s="12" t="inlineStr"/>
      <c r="G16" s="12" t="inlineStr">
        <is>
          <t>https://bridgeapp.co.za/uniapply-parents</t>
        </is>
      </c>
      <c r="H16" s="63">
        <f>IF(OR(G16="",C16="",D16=""),"",G16&amp;"?utm_source="&amp;SUBSTITUTE(SUBSTITUTE(SUBSTITUTE(LOWER(TRIM(C16))," ","-"),"/","-"),"--","-")&amp;"&amp;utm_medium="&amp;SUBSTITUTE(SUBSTITUTE(SUBSTITUTE(LOWER(TRIM(D16))," ","-"),"/","-"),"--","-")&amp;IF(E16="","","&amp;utm_campaign="&amp;SUBSTITUTE(SUBSTITUTE(SUBSTITUTE(LOWER(TRIM(E16))," ","-"),"/","-"),"--","-"))&amp;IF(F16="","","&amp;utm_content="&amp;SUBSTITUTE(SUBSTITUTE(SUBSTITUTE(LOWER(TRIM(F16))," ","-"),"/","-"),"--","-")))</f>
        <v/>
      </c>
      <c r="I16" s="42" t="inlineStr">
        <is>
          <t>GE2</t>
        </is>
      </c>
      <c r="J16" s="12" t="inlineStr">
        <is>
          <t>TBC</t>
        </is>
      </c>
      <c r="K16" s="64" t="n"/>
    </row>
    <row r="17">
      <c r="B17" s="6" t="inlineStr">
        <is>
          <t>School visit QR, per school</t>
        </is>
      </c>
      <c r="C17" s="12" t="inlineStr">
        <is>
          <t>school-visits</t>
        </is>
      </c>
      <c r="D17" s="12" t="inlineStr">
        <is>
          <t>qr</t>
        </is>
      </c>
      <c r="E17" s="12" t="inlineStr">
        <is>
          <t>qualifying-sprint</t>
        </is>
      </c>
      <c r="F17" s="12" t="inlineStr">
        <is>
          <t>school-kingsmead</t>
        </is>
      </c>
      <c r="G17" s="12" t="inlineStr">
        <is>
          <t>https://bridgeapp.co.za/uniapply-parents</t>
        </is>
      </c>
      <c r="H17" s="63">
        <f>IF(OR(G17="",C17="",D17=""),"",G17&amp;"?utm_source="&amp;SUBSTITUTE(SUBSTITUTE(SUBSTITUTE(LOWER(TRIM(C17))," ","-"),"/","-"),"--","-")&amp;"&amp;utm_medium="&amp;SUBSTITUTE(SUBSTITUTE(SUBSTITUTE(LOWER(TRIM(D17))," ","-"),"/","-"),"--","-")&amp;IF(E17="","","&amp;utm_campaign="&amp;SUBSTITUTE(SUBSTITUTE(SUBSTITUTE(LOWER(TRIM(E17))," ","-"),"/","-"),"--","-"))&amp;IF(F17="","","&amp;utm_content="&amp;SUBSTITUTE(SUBSTITUTE(SUBSTITUTE(LOWER(TRIM(F17))," ","-"),"/","-"),"--","-")))</f>
        <v/>
      </c>
      <c r="I17" s="42" t="inlineStr">
        <is>
          <t>GE2</t>
        </is>
      </c>
      <c r="J17" s="12" t="inlineStr">
        <is>
          <t>TBC</t>
        </is>
      </c>
      <c r="K17" s="64" t="n"/>
    </row>
    <row r="18">
      <c r="B18" s="6" t="inlineStr">
        <is>
          <t>Exhibition and conference QR</t>
        </is>
      </c>
      <c r="C18" s="12" t="inlineStr">
        <is>
          <t>school-events</t>
        </is>
      </c>
      <c r="D18" s="12" t="inlineStr">
        <is>
          <t>qr</t>
        </is>
      </c>
      <c r="E18" s="12" t="inlineStr">
        <is>
          <t>qualifying-sprint</t>
        </is>
      </c>
      <c r="F18" s="12" t="inlineStr">
        <is>
          <t>sahisa-durban</t>
        </is>
      </c>
      <c r="G18" s="12" t="inlineStr">
        <is>
          <t>https://bridgeapp.co.za/uniapply-parents</t>
        </is>
      </c>
      <c r="H18" s="63">
        <f>IF(OR(G18="",C18="",D18=""),"",G18&amp;"?utm_source="&amp;SUBSTITUTE(SUBSTITUTE(SUBSTITUTE(LOWER(TRIM(C18))," ","-"),"/","-"),"--","-")&amp;"&amp;utm_medium="&amp;SUBSTITUTE(SUBSTITUTE(SUBSTITUTE(LOWER(TRIM(D18))," ","-"),"/","-"),"--","-")&amp;IF(E18="","","&amp;utm_campaign="&amp;SUBSTITUTE(SUBSTITUTE(SUBSTITUTE(LOWER(TRIM(E18))," ","-"),"/","-"),"--","-"))&amp;IF(F18="","","&amp;utm_content="&amp;SUBSTITUTE(SUBSTITUTE(SUBSTITUTE(LOWER(TRIM(F18))," ","-"),"/","-"),"--","-")))</f>
        <v/>
      </c>
      <c r="I18" s="42" t="inlineStr">
        <is>
          <t>GE2</t>
        </is>
      </c>
      <c r="J18" s="12" t="inlineStr">
        <is>
          <t>TBC</t>
        </is>
      </c>
      <c r="K18" s="64" t="n"/>
    </row>
    <row r="19">
      <c r="B19" s="6" t="inlineStr">
        <is>
          <t>Parent info session handout</t>
        </is>
      </c>
      <c r="C19" s="12" t="inlineStr">
        <is>
          <t>school-visits</t>
        </is>
      </c>
      <c r="D19" s="12" t="inlineStr">
        <is>
          <t>print</t>
        </is>
      </c>
      <c r="E19" s="12" t="inlineStr">
        <is>
          <t>qualifying-sprint</t>
        </is>
      </c>
      <c r="F19" s="12" t="inlineStr">
        <is>
          <t>info-session</t>
        </is>
      </c>
      <c r="G19" s="12" t="inlineStr">
        <is>
          <t>https://bridgeapp.co.za/uniapply-parents</t>
        </is>
      </c>
      <c r="H19" s="63">
        <f>IF(OR(G19="",C19="",D19=""),"",G19&amp;"?utm_source="&amp;SUBSTITUTE(SUBSTITUTE(SUBSTITUTE(LOWER(TRIM(C19))," ","-"),"/","-"),"--","-")&amp;"&amp;utm_medium="&amp;SUBSTITUTE(SUBSTITUTE(SUBSTITUTE(LOWER(TRIM(D19))," ","-"),"/","-"),"--","-")&amp;IF(E19="","","&amp;utm_campaign="&amp;SUBSTITUTE(SUBSTITUTE(SUBSTITUTE(LOWER(TRIM(E19))," ","-"),"/","-"),"--","-"))&amp;IF(F19="","","&amp;utm_content="&amp;SUBSTITUTE(SUBSTITUTE(SUBSTITUTE(LOWER(TRIM(F19))," ","-"),"/","-"),"--","-")))</f>
        <v/>
      </c>
      <c r="I19" s="42" t="inlineStr">
        <is>
          <t>GE2</t>
        </is>
      </c>
      <c r="J19" s="12" t="inlineStr">
        <is>
          <t>TBC</t>
        </is>
      </c>
      <c r="K19" s="64" t="n"/>
    </row>
    <row r="21">
      <c r="B21" s="2" t="inlineStr">
        <is>
          <t>Landing URL is pre-filled with the parent page path. If the page is not deployed by day 1, change column G to the live destination on every row before any spend starts.</t>
        </is>
      </c>
    </row>
    <row r="22">
      <c r="B22" s="2" t="inlineStr">
        <is>
          <t>Source and medium are compulsory. Campaign and content are optional and the formula leaves them out when blank.</t>
        </is>
      </c>
    </row>
    <row r="23">
      <c r="B23" s="2" t="inlineStr">
        <is>
          <t>Everything is forced to lower case with spaces turned into hyphens, because GA4 treats Meta and meta as two different sources.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J31"/>
  <sheetViews>
    <sheetView workbookViewId="0">
      <selection activeCell="A1" sqref="A1"/>
    </sheetView>
  </sheetViews>
  <sheetFormatPr baseColWidth="8" defaultRowHeight="15"/>
  <cols>
    <col width="3" customWidth="1" min="1" max="1"/>
    <col width="40" customWidth="1" min="2" max="2"/>
    <col width="7" customWidth="1" min="3" max="3"/>
    <col width="10" customWidth="1" min="4" max="4"/>
    <col width="22" customWidth="1" min="5" max="5"/>
    <col width="14" customWidth="1" min="6" max="6"/>
    <col width="14" customWidth="1" min="7" max="7"/>
    <col width="14" customWidth="1" min="8" max="8"/>
    <col width="12" customWidth="1" min="9" max="9"/>
    <col width="12" customWidth="1" min="10" max="10"/>
  </cols>
  <sheetData>
    <row r="2" ht="27" customHeight="1">
      <c r="B2" s="1" t="inlineStr">
        <is>
          <t>KPI DASHBOARD</t>
        </is>
      </c>
    </row>
    <row r="3" ht="13" customHeight="1">
      <c r="B3" s="2" t="inlineStr">
        <is>
          <t>Current reads live from 05_Daily_Log. Target and Trigger are fixed before the sprint starts and are not edited during it. Read at every Monday stand up.</t>
        </is>
      </c>
    </row>
    <row r="5" ht="20" customHeight="1">
      <c r="B5" s="3" t="inlineStr">
        <is>
          <t>GE1: Paid media. Owner: Performance Marketer</t>
        </is>
      </c>
      <c r="C5" s="4" t="n"/>
      <c r="D5" s="4" t="n"/>
      <c r="E5" s="4" t="n"/>
      <c r="F5" s="4" t="n"/>
      <c r="G5" s="4" t="n"/>
      <c r="H5" s="4" t="n"/>
      <c r="I5" s="4" t="n"/>
    </row>
    <row r="6" ht="26" customHeight="1">
      <c r="B6" s="11" t="inlineStr">
        <is>
          <t>KPI</t>
        </is>
      </c>
      <c r="C6" s="11" t="inlineStr">
        <is>
          <t>GE</t>
        </is>
      </c>
      <c r="D6" s="11" t="inlineStr">
        <is>
          <t>Cadence</t>
        </is>
      </c>
      <c r="E6" s="11" t="inlineStr">
        <is>
          <t>Owner</t>
        </is>
      </c>
      <c r="F6" s="11" t="inlineStr">
        <is>
          <t>Current</t>
        </is>
      </c>
      <c r="G6" s="11" t="inlineStr">
        <is>
          <t>Target</t>
        </is>
      </c>
      <c r="H6" s="11" t="inlineStr">
        <is>
          <t>Trigger</t>
        </is>
      </c>
      <c r="I6" s="11" t="inlineStr">
        <is>
          <t>Good when</t>
        </is>
      </c>
      <c r="J6" s="11" t="inlineStr">
        <is>
          <t>Status</t>
        </is>
      </c>
    </row>
    <row r="7">
      <c r="B7" s="6" t="inlineStr">
        <is>
          <t>Cost per sale, blended paid</t>
        </is>
      </c>
      <c r="C7" s="37" t="inlineStr">
        <is>
          <t>GE1</t>
        </is>
      </c>
      <c r="D7" s="47" t="inlineStr">
        <is>
          <t>W</t>
        </is>
      </c>
      <c r="E7" s="13" t="inlineStr">
        <is>
          <t>Performance Marketer</t>
        </is>
      </c>
      <c r="F7" s="36">
        <f>'06_GE1_Paid_Media'!$C$11</f>
        <v/>
      </c>
      <c r="G7" s="65">
        <f>'03_Sprint_Drivers'!$C$26</f>
        <v/>
      </c>
      <c r="H7" s="66">
        <f>'03_Sprint_Drivers'!$C$26*2</f>
        <v/>
      </c>
      <c r="I7" s="47" t="inlineStr">
        <is>
          <t>lower</t>
        </is>
      </c>
      <c r="J7" s="43">
        <f>IF(NOT(ISNUMBER(H7)),"MANUAL",IF(F7=0,"NO DATA",IF(F7&gt;H7,"REVIEW","OK")))</f>
        <v/>
      </c>
    </row>
    <row r="8">
      <c r="B8" s="6" t="inlineStr">
        <is>
          <t>Sales banked, GE1</t>
        </is>
      </c>
      <c r="C8" s="37" t="inlineStr">
        <is>
          <t>GE1</t>
        </is>
      </c>
      <c r="D8" s="47" t="inlineStr">
        <is>
          <t>W</t>
        </is>
      </c>
      <c r="E8" s="13" t="inlineStr">
        <is>
          <t>Performance Marketer</t>
        </is>
      </c>
      <c r="F8" s="24">
        <f>'06_GE1_Paid_Media'!$C$10</f>
        <v/>
      </c>
      <c r="G8" s="67">
        <f>'03_Sprint_Drivers'!$C$17</f>
        <v/>
      </c>
      <c r="H8" s="68">
        <f>ROUND('03_Sprint_Drivers'!$C$17*0.5,0)</f>
        <v/>
      </c>
      <c r="I8" s="47" t="inlineStr">
        <is>
          <t>higher</t>
        </is>
      </c>
      <c r="J8" s="43">
        <f>IF(NOT(ISNUMBER(H8)),"MANUAL",IF(F8&lt;H8,"REVIEW","OK"))</f>
        <v/>
      </c>
    </row>
    <row r="9">
      <c r="B9" s="6" t="inlineStr">
        <is>
          <t>Cost per signup</t>
        </is>
      </c>
      <c r="C9" s="37" t="inlineStr">
        <is>
          <t>GE1</t>
        </is>
      </c>
      <c r="D9" s="47" t="inlineStr">
        <is>
          <t>W</t>
        </is>
      </c>
      <c r="E9" s="13" t="inlineStr">
        <is>
          <t>Performance Marketer</t>
        </is>
      </c>
      <c r="F9" s="36">
        <f>'06_GE1_Paid_Media'!$C$12</f>
        <v/>
      </c>
      <c r="G9" s="65" t="n">
        <v>85</v>
      </c>
      <c r="H9" s="66" t="n">
        <v>120</v>
      </c>
      <c r="I9" s="47" t="inlineStr">
        <is>
          <t>lower</t>
        </is>
      </c>
      <c r="J9" s="43">
        <f>IF(NOT(ISNUMBER(H9)),"MANUAL",IF(F9=0,"NO DATA",IF(F9&gt;H9,"REVIEW","OK")))</f>
        <v/>
      </c>
    </row>
    <row r="10">
      <c r="B10" s="6" t="inlineStr">
        <is>
          <t>Signup to sale rate</t>
        </is>
      </c>
      <c r="C10" s="37" t="inlineStr">
        <is>
          <t>GE1</t>
        </is>
      </c>
      <c r="D10" s="47" t="inlineStr">
        <is>
          <t>W</t>
        </is>
      </c>
      <c r="E10" s="13" t="inlineStr">
        <is>
          <t>Performance Marketer</t>
        </is>
      </c>
      <c r="F10" s="28">
        <f>'06_GE1_Paid_Media'!$C$14</f>
        <v/>
      </c>
      <c r="G10" s="31" t="n">
        <v>0.04</v>
      </c>
      <c r="H10" s="69" t="n">
        <v>0.025</v>
      </c>
      <c r="I10" s="47" t="inlineStr">
        <is>
          <t>higher</t>
        </is>
      </c>
      <c r="J10" s="43">
        <f>IF(NOT(ISNUMBER(H10)),"MANUAL",IF(F10&lt;H10,"REVIEW","OK"))</f>
        <v/>
      </c>
    </row>
    <row r="11">
      <c r="B11" s="6" t="inlineStr">
        <is>
          <t>Spend left in the cap</t>
        </is>
      </c>
      <c r="C11" s="37" t="inlineStr">
        <is>
          <t>GE1</t>
        </is>
      </c>
      <c r="D11" s="47" t="inlineStr">
        <is>
          <t>W</t>
        </is>
      </c>
      <c r="E11" s="13" t="inlineStr">
        <is>
          <t>Performance Marketer</t>
        </is>
      </c>
      <c r="F11" s="36">
        <f>'06_GE1_Paid_Media'!$C$15</f>
        <v/>
      </c>
      <c r="G11" s="65" t="n">
        <v>0</v>
      </c>
      <c r="H11" s="66" t="n">
        <v>0</v>
      </c>
      <c r="I11" s="47" t="inlineStr">
        <is>
          <t>higher</t>
        </is>
      </c>
      <c r="J11" s="43">
        <f>IF(NOT(ISNUMBER(H11)),"MANUAL",IF(F11&lt;H11,"REVIEW","OK"))</f>
        <v/>
      </c>
    </row>
    <row r="13" ht="20" customHeight="1">
      <c r="B13" s="3" t="inlineStr">
        <is>
          <t>GE2: School outreach. Owner: Schools Coordinator</t>
        </is>
      </c>
      <c r="C13" s="4" t="n"/>
      <c r="D13" s="4" t="n"/>
      <c r="E13" s="4" t="n"/>
      <c r="F13" s="4" t="n"/>
      <c r="G13" s="4" t="n"/>
      <c r="H13" s="4" t="n"/>
      <c r="I13" s="4" t="n"/>
    </row>
    <row r="14" ht="26" customHeight="1">
      <c r="B14" s="11" t="inlineStr">
        <is>
          <t>KPI</t>
        </is>
      </c>
      <c r="C14" s="11" t="inlineStr">
        <is>
          <t>GE</t>
        </is>
      </c>
      <c r="D14" s="11" t="inlineStr">
        <is>
          <t>Cadence</t>
        </is>
      </c>
      <c r="E14" s="11" t="inlineStr">
        <is>
          <t>Owner</t>
        </is>
      </c>
      <c r="F14" s="11" t="inlineStr">
        <is>
          <t>Current</t>
        </is>
      </c>
      <c r="G14" s="11" t="inlineStr">
        <is>
          <t>Target</t>
        </is>
      </c>
      <c r="H14" s="11" t="inlineStr">
        <is>
          <t>Trigger</t>
        </is>
      </c>
      <c r="I14" s="11" t="inlineStr">
        <is>
          <t>Good when</t>
        </is>
      </c>
      <c r="J14" s="11" t="inlineStr">
        <is>
          <t>Status</t>
        </is>
      </c>
    </row>
    <row r="15">
      <c r="B15" s="6" t="inlineStr">
        <is>
          <t>Sales banked, GE2</t>
        </is>
      </c>
      <c r="C15" s="37" t="inlineStr">
        <is>
          <t>GE2</t>
        </is>
      </c>
      <c r="D15" s="47" t="inlineStr">
        <is>
          <t>W</t>
        </is>
      </c>
      <c r="E15" s="13" t="inlineStr">
        <is>
          <t>Schools Coordinator</t>
        </is>
      </c>
      <c r="F15" s="24">
        <f>'07_GE2_School_Outreach'!$C$11</f>
        <v/>
      </c>
      <c r="G15" s="67">
        <f>'03_Sprint_Drivers'!$C$18</f>
        <v/>
      </c>
      <c r="H15" s="68">
        <f>ROUND('03_Sprint_Drivers'!$C$18*0.5,0)</f>
        <v/>
      </c>
      <c r="I15" s="47" t="inlineStr">
        <is>
          <t>higher</t>
        </is>
      </c>
      <c r="J15" s="43">
        <f>IF(NOT(ISNUMBER(H15)),"MANUAL",IF(F15&lt;H15,"REVIEW","OK"))</f>
        <v/>
      </c>
    </row>
    <row r="16">
      <c r="B16" s="6" t="inlineStr">
        <is>
          <t>Cost per sale, school engine</t>
        </is>
      </c>
      <c r="C16" s="37" t="inlineStr">
        <is>
          <t>GE2</t>
        </is>
      </c>
      <c r="D16" s="47" t="inlineStr">
        <is>
          <t>W</t>
        </is>
      </c>
      <c r="E16" s="13" t="inlineStr">
        <is>
          <t>Schools Coordinator</t>
        </is>
      </c>
      <c r="F16" s="36">
        <f>'07_GE2_School_Outreach'!$C$24</f>
        <v/>
      </c>
      <c r="G16" s="65">
        <f>'03_Sprint_Drivers'!$C$26</f>
        <v/>
      </c>
      <c r="H16" s="66">
        <f>'03_Sprint_Drivers'!$C$26*2</f>
        <v/>
      </c>
      <c r="I16" s="47" t="inlineStr">
        <is>
          <t>lower</t>
        </is>
      </c>
      <c r="J16" s="43">
        <f>IF(NOT(ISNUMBER(H16)),"MANUAL",IF(F16=0,"NO DATA",IF(F16&gt;H16,"REVIEW","OK")))</f>
        <v/>
      </c>
    </row>
    <row r="17">
      <c r="B17" s="6" t="inlineStr">
        <is>
          <t>Schools visited</t>
        </is>
      </c>
      <c r="C17" s="37" t="inlineStr">
        <is>
          <t>GE2</t>
        </is>
      </c>
      <c r="D17" s="47" t="inlineStr">
        <is>
          <t>W</t>
        </is>
      </c>
      <c r="E17" s="13" t="inlineStr">
        <is>
          <t>Schools Coordinator</t>
        </is>
      </c>
      <c r="F17" s="24">
        <f>'07_GE2_School_Outreach'!$C$7</f>
        <v/>
      </c>
      <c r="G17" s="67" t="n">
        <v>12</v>
      </c>
      <c r="H17" s="68" t="n">
        <v>8</v>
      </c>
      <c r="I17" s="47" t="inlineStr">
        <is>
          <t>higher</t>
        </is>
      </c>
      <c r="J17" s="43">
        <f>IF(NOT(ISNUMBER(H17)),"MANUAL",IF(F17&lt;H17,"REVIEW","OK"))</f>
        <v/>
      </c>
    </row>
    <row r="18">
      <c r="B18" s="6" t="inlineStr">
        <is>
          <t>Calls plus visits</t>
        </is>
      </c>
      <c r="C18" s="37" t="inlineStr">
        <is>
          <t>GE2</t>
        </is>
      </c>
      <c r="D18" s="47" t="inlineStr">
        <is>
          <t>W</t>
        </is>
      </c>
      <c r="E18" s="13" t="inlineStr">
        <is>
          <t>Schools Coordinator</t>
        </is>
      </c>
      <c r="F18" s="24">
        <f>'07_GE2_School_Outreach'!$C$9</f>
        <v/>
      </c>
      <c r="G18" s="67" t="n">
        <v>50</v>
      </c>
      <c r="H18" s="68" t="n">
        <v>30</v>
      </c>
      <c r="I18" s="47" t="inlineStr">
        <is>
          <t>higher</t>
        </is>
      </c>
      <c r="J18" s="43">
        <f>IF(NOT(ISNUMBER(H18)),"MANUAL",IF(F18&lt;H18,"REVIEW","OK"))</f>
        <v/>
      </c>
    </row>
    <row r="19">
      <c r="B19" s="6" t="inlineStr">
        <is>
          <t>Signups captured</t>
        </is>
      </c>
      <c r="C19" s="37" t="inlineStr">
        <is>
          <t>GE2</t>
        </is>
      </c>
      <c r="D19" s="47" t="inlineStr">
        <is>
          <t>W</t>
        </is>
      </c>
      <c r="E19" s="13" t="inlineStr">
        <is>
          <t>Schools Coordinator</t>
        </is>
      </c>
      <c r="F19" s="24">
        <f>'07_GE2_School_Outreach'!$C$10</f>
        <v/>
      </c>
      <c r="G19" s="67" t="inlineStr">
        <is>
          <t>Baseline</t>
        </is>
      </c>
      <c r="H19" s="68" t="inlineStr">
        <is>
          <t>Baseline</t>
        </is>
      </c>
      <c r="I19" s="47" t="inlineStr">
        <is>
          <t>higher</t>
        </is>
      </c>
      <c r="J19" s="43">
        <f>IF(NOT(ISNUMBER(H19)),"MANUAL",IF(F19&lt;H19,"REVIEW","OK"))</f>
        <v/>
      </c>
    </row>
    <row r="20">
      <c r="B20" s="6" t="inlineStr">
        <is>
          <t>Signups per visit</t>
        </is>
      </c>
      <c r="C20" s="37" t="inlineStr">
        <is>
          <t>GE2</t>
        </is>
      </c>
      <c r="D20" s="47" t="inlineStr">
        <is>
          <t>W</t>
        </is>
      </c>
      <c r="E20" s="13" t="inlineStr">
        <is>
          <t>Schools Coordinator</t>
        </is>
      </c>
      <c r="F20" s="29">
        <f>'07_GE2_School_Outreach'!$C$12</f>
        <v/>
      </c>
      <c r="G20" s="70" t="inlineStr">
        <is>
          <t>Baseline</t>
        </is>
      </c>
      <c r="H20" s="71" t="inlineStr">
        <is>
          <t>Baseline</t>
        </is>
      </c>
      <c r="I20" s="47" t="inlineStr">
        <is>
          <t>higher</t>
        </is>
      </c>
      <c r="J20" s="43">
        <f>IF(NOT(ISNUMBER(H20)),"MANUAL",IF(F20&lt;H20,"REVIEW","OK"))</f>
        <v/>
      </c>
    </row>
    <row r="22" ht="20" customHeight="1">
      <c r="B22" s="3" t="inlineStr">
        <is>
          <t>Sprint discipline. Owner: Campaign Lead</t>
        </is>
      </c>
      <c r="C22" s="4" t="n"/>
      <c r="D22" s="4" t="n"/>
      <c r="E22" s="4" t="n"/>
      <c r="F22" s="4" t="n"/>
      <c r="G22" s="4" t="n"/>
      <c r="H22" s="4" t="n"/>
      <c r="I22" s="4" t="n"/>
    </row>
    <row r="23" ht="26" customHeight="1">
      <c r="B23" s="11" t="inlineStr">
        <is>
          <t>KPI</t>
        </is>
      </c>
      <c r="C23" s="11" t="inlineStr">
        <is>
          <t>GE</t>
        </is>
      </c>
      <c r="D23" s="11" t="inlineStr">
        <is>
          <t>Cadence</t>
        </is>
      </c>
      <c r="E23" s="11" t="inlineStr">
        <is>
          <t>Owner</t>
        </is>
      </c>
      <c r="F23" s="11" t="inlineStr">
        <is>
          <t>Current</t>
        </is>
      </c>
      <c r="G23" s="11" t="inlineStr">
        <is>
          <t>Target</t>
        </is>
      </c>
      <c r="H23" s="11" t="inlineStr">
        <is>
          <t>Trigger</t>
        </is>
      </c>
      <c r="I23" s="11" t="inlineStr">
        <is>
          <t>Good when</t>
        </is>
      </c>
      <c r="J23" s="11" t="inlineStr">
        <is>
          <t>Status</t>
        </is>
      </c>
    </row>
    <row r="24">
      <c r="B24" s="6" t="inlineStr">
        <is>
          <t>Days logged in 05_Daily_Log</t>
        </is>
      </c>
      <c r="C24" s="37" t="inlineStr">
        <is>
          <t>ALL</t>
        </is>
      </c>
      <c r="D24" s="47" t="inlineStr">
        <is>
          <t>D</t>
        </is>
      </c>
      <c r="E24" s="13" t="inlineStr">
        <is>
          <t>Campaign Lead</t>
        </is>
      </c>
      <c r="F24" s="24">
        <f>COUNT('05_Daily_Log'!$D$8:$D$21)</f>
        <v/>
      </c>
      <c r="G24" s="67" t="n">
        <v>14</v>
      </c>
      <c r="H24" s="68" t="n">
        <v>12</v>
      </c>
      <c r="I24" s="47" t="inlineStr">
        <is>
          <t>higher</t>
        </is>
      </c>
      <c r="J24" s="43">
        <f>IF(NOT(ISNUMBER(H24)),"MANUAL",IF(F24&lt;H24,"REVIEW","OK"))</f>
        <v/>
      </c>
    </row>
    <row r="25">
      <c r="B25" s="6" t="inlineStr">
        <is>
          <t>Links in 09_UTM_Register that build a tagged URL</t>
        </is>
      </c>
      <c r="C25" s="37" t="inlineStr">
        <is>
          <t>ALL</t>
        </is>
      </c>
      <c r="D25" s="47" t="inlineStr">
        <is>
          <t>W</t>
        </is>
      </c>
      <c r="E25" s="13" t="inlineStr">
        <is>
          <t>Performance Marketer</t>
        </is>
      </c>
      <c r="F25" s="24">
        <f>COUNTIF('09_UTM_Register'!$H$7:$H$19,"?*")</f>
        <v/>
      </c>
      <c r="G25" s="67" t="n">
        <v>13</v>
      </c>
      <c r="H25" s="68" t="n">
        <v>13</v>
      </c>
      <c r="I25" s="47" t="inlineStr">
        <is>
          <t>higher</t>
        </is>
      </c>
      <c r="J25" s="43">
        <f>IF(NOT(ISNUMBER(H25)),"MANUAL",IF(F25&lt;H25,"REVIEW","OK"))</f>
        <v/>
      </c>
    </row>
    <row r="26">
      <c r="B26" s="6" t="inlineStr">
        <is>
          <t>Peach feed landing daily</t>
        </is>
      </c>
      <c r="C26" s="37" t="inlineStr">
        <is>
          <t>ALL</t>
        </is>
      </c>
      <c r="D26" s="47" t="inlineStr">
        <is>
          <t>D</t>
        </is>
      </c>
      <c r="E26" s="13" t="inlineStr">
        <is>
          <t>Gradesmatch tech</t>
        </is>
      </c>
      <c r="F26" s="72" t="inlineStr">
        <is>
          <t>Pass</t>
        </is>
      </c>
      <c r="G26" s="73" t="inlineStr">
        <is>
          <t>Pass</t>
        </is>
      </c>
      <c r="H26" s="74" t="inlineStr">
        <is>
          <t>Any miss</t>
        </is>
      </c>
      <c r="I26" s="47" t="inlineStr">
        <is>
          <t>manual</t>
        </is>
      </c>
      <c r="J26" s="43" t="inlineStr">
        <is>
          <t>MANUAL</t>
        </is>
      </c>
    </row>
    <row r="27">
      <c r="B27" s="6" t="inlineStr">
        <is>
          <t>Visit logged the same day</t>
        </is>
      </c>
      <c r="C27" s="37" t="inlineStr">
        <is>
          <t>ALL</t>
        </is>
      </c>
      <c r="D27" s="47" t="inlineStr">
        <is>
          <t>D</t>
        </is>
      </c>
      <c r="E27" s="13" t="inlineStr">
        <is>
          <t>Schools Coordinator</t>
        </is>
      </c>
      <c r="F27" s="72" t="inlineStr">
        <is>
          <t>Pass</t>
        </is>
      </c>
      <c r="G27" s="73" t="inlineStr">
        <is>
          <t>Pass</t>
        </is>
      </c>
      <c r="H27" s="74" t="inlineStr">
        <is>
          <t>Any miss</t>
        </is>
      </c>
      <c r="I27" s="47" t="inlineStr">
        <is>
          <t>manual</t>
        </is>
      </c>
      <c r="J27" s="43" t="inlineStr">
        <is>
          <t>MANUAL</t>
        </is>
      </c>
    </row>
    <row r="28">
      <c r="B28" s="6" t="inlineStr">
        <is>
          <t>Working book updated Friday</t>
        </is>
      </c>
      <c r="C28" s="37" t="inlineStr">
        <is>
          <t>ALL</t>
        </is>
      </c>
      <c r="D28" s="47" t="inlineStr">
        <is>
          <t>W</t>
        </is>
      </c>
      <c r="E28" s="13" t="inlineStr">
        <is>
          <t>Campaign Lead</t>
        </is>
      </c>
      <c r="F28" s="72" t="inlineStr">
        <is>
          <t>Pass</t>
        </is>
      </c>
      <c r="G28" s="73" t="inlineStr">
        <is>
          <t>Pass</t>
        </is>
      </c>
      <c r="H28" s="74" t="inlineStr">
        <is>
          <t>Any miss</t>
        </is>
      </c>
      <c r="I28" s="47" t="inlineStr">
        <is>
          <t>manual</t>
        </is>
      </c>
      <c r="J28" s="43" t="inlineStr">
        <is>
          <t>MANUAL</t>
        </is>
      </c>
    </row>
    <row r="30">
      <c r="B30" s="2" t="inlineStr">
        <is>
          <t>Baseline means there is no honest number to set yet. These are read for four weeks and the target is set off real data.</t>
        </is>
      </c>
    </row>
    <row r="31">
      <c r="B31" s="2" t="inlineStr">
        <is>
          <t>MANUAL in the Status column means the row is judged by a person, not by a comparison. Cost per signup R85 target and R120 trigger, and the 4% signup to sale target, are from v4 sheet 10_KPIs_By_GE.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F33"/>
  <sheetViews>
    <sheetView workbookViewId="0">
      <selection activeCell="A1" sqref="A1"/>
    </sheetView>
  </sheetViews>
  <sheetFormatPr baseColWidth="8" defaultRowHeight="15"/>
  <cols>
    <col width="3" customWidth="1" min="1" max="1"/>
    <col width="48" customWidth="1" min="2" max="2"/>
    <col width="18" customWidth="1" min="3" max="3"/>
    <col width="18" customWidth="1" min="4" max="4"/>
    <col width="12" customWidth="1" min="5" max="5"/>
    <col width="58" customWidth="1" min="6" max="6"/>
  </cols>
  <sheetData>
    <row r="2" ht="27" customHeight="1">
      <c r="B2" s="1" t="inlineStr">
        <is>
          <t>DAY 14 GO OR NO GO</t>
        </is>
      </c>
    </row>
    <row r="3" ht="13" customHeight="1">
      <c r="B3" s="2" t="inlineStr">
        <is>
          <t>Completed on Sun 6 Sep 2026 by the Campaign Lead, decided by the MD. The thresholds below are set before the sprint starts and are not moved afterwards.</t>
        </is>
      </c>
    </row>
    <row r="5" ht="20" customHeight="1">
      <c r="B5" s="3" t="inlineStr">
        <is>
          <t>The seven tests</t>
        </is>
      </c>
      <c r="C5" s="4" t="n"/>
      <c r="D5" s="4" t="n"/>
      <c r="E5" s="4" t="n"/>
      <c r="F5" s="4" t="n"/>
    </row>
    <row r="6" ht="26" customHeight="1">
      <c r="B6" s="11" t="inlineStr">
        <is>
          <t>Test</t>
        </is>
      </c>
      <c r="C6" s="11" t="inlineStr">
        <is>
          <t>Result</t>
        </is>
      </c>
      <c r="D6" s="11" t="inlineStr">
        <is>
          <t>Threshold</t>
        </is>
      </c>
      <c r="E6" s="11" t="inlineStr">
        <is>
          <t>Verdict</t>
        </is>
      </c>
      <c r="F6" s="11" t="inlineStr">
        <is>
          <t>Note</t>
        </is>
      </c>
    </row>
    <row r="7">
      <c r="B7" s="6" t="inlineStr">
        <is>
          <t>1. Qualifying sales achieved</t>
        </is>
      </c>
      <c r="C7" s="24">
        <f>'05_Daily_Log'!$L$22</f>
        <v/>
      </c>
      <c r="D7" s="67">
        <f>'03_Sprint_Drivers'!$C$14</f>
        <v/>
      </c>
      <c r="E7" s="43">
        <f>IF(NOT(ISNUMBER(C7)),"NO DATA",IF(C7&gt;=D7,"PASS","FAIL"))</f>
        <v/>
      </c>
      <c r="F7" s="2" t="inlineStr">
        <is>
          <t>Total banked across both engines.</t>
        </is>
      </c>
    </row>
    <row r="8">
      <c r="B8" s="6" t="inlineStr">
        <is>
          <t>2. Blended cost per sale at or under target</t>
        </is>
      </c>
      <c r="C8" s="36">
        <f>IFERROR(('05_Daily_Log'!$D$22+'07_GE2_School_Outreach'!$C$23)/'05_Daily_Log'!$L$22,0)</f>
        <v/>
      </c>
      <c r="D8" s="65">
        <f>'03_Sprint_Drivers'!$C$26</f>
        <v/>
      </c>
      <c r="E8" s="43">
        <f>IF(NOT(ISNUMBER(C8)),"NO DATA",IF(C8=0,"NO DATA",IF(C8&lt;=D8,"PASS","FAIL")))</f>
        <v/>
      </c>
      <c r="F8" s="2" t="inlineStr">
        <is>
          <t>Paid media spend plus school engine cost, divided by all sales.</t>
        </is>
      </c>
    </row>
    <row r="9">
      <c r="B9" s="6" t="inlineStr">
        <is>
          <t>3. Paid engine at or under twice target</t>
        </is>
      </c>
      <c r="C9" s="36">
        <f>'06_GE1_Paid_Media'!$C$11</f>
        <v/>
      </c>
      <c r="D9" s="65">
        <f>'03_Sprint_Drivers'!$C$26*2</f>
        <v/>
      </c>
      <c r="E9" s="43">
        <f>IF(NOT(ISNUMBER(C9)),"NO DATA",IF(C9=0,"NO DATA",IF(C9&lt;=D9,"PASS","FAIL")))</f>
        <v/>
      </c>
      <c r="F9" s="2" t="inlineStr">
        <is>
          <t>A paid engine above this is not scalable at the current creative.</t>
        </is>
      </c>
    </row>
    <row r="10">
      <c r="B10" s="6" t="inlineStr">
        <is>
          <t>4. School engine at or under twice target</t>
        </is>
      </c>
      <c r="C10" s="36">
        <f>'07_GE2_School_Outreach'!$C$24</f>
        <v/>
      </c>
      <c r="D10" s="65">
        <f>'03_Sprint_Drivers'!$C$26*2</f>
        <v/>
      </c>
      <c r="E10" s="43">
        <f>IF(NOT(ISNUMBER(C10)),"NO DATA",IF(C10=0,"NO DATA",IF(C10&lt;=D10,"PASS","FAIL")))</f>
        <v/>
      </c>
      <c r="F10" s="2" t="inlineStr">
        <is>
          <t>Same test, applied to visits.</t>
        </is>
      </c>
    </row>
    <row r="11">
      <c r="B11" s="6" t="inlineStr">
        <is>
          <t>5. At least one engine at or under target</t>
        </is>
      </c>
      <c r="C11" s="24">
        <f>IF(OR(AND(ISNUMBER('06_GE1_Paid_Media'!$C$11),'06_GE1_Paid_Media'!$C$11&lt;='03_Sprint_Drivers'!$C$26,'06_GE1_Paid_Media'!$C$11&gt;0),AND(ISNUMBER('07_GE2_School_Outreach'!$C$24),'07_GE2_School_Outreach'!$C$24&lt;='03_Sprint_Drivers'!$C$26,'07_GE2_School_Outreach'!$C$24&gt;0)),1,0)</f>
        <v/>
      </c>
      <c r="D11" s="67" t="n">
        <v>1</v>
      </c>
      <c r="E11" s="43">
        <f>IF(NOT(ISNUMBER(C11)),"NO DATA",IF(C11&gt;=D11,"PASS","FAIL"))</f>
        <v/>
      </c>
      <c r="F11" s="2" t="inlineStr">
        <is>
          <t>One working engine is enough to justify releasing budget into it.</t>
        </is>
      </c>
    </row>
    <row r="12">
      <c r="B12" s="6" t="inlineStr">
        <is>
          <t>6. Paid spend stayed inside the cap</t>
        </is>
      </c>
      <c r="C12" s="36">
        <f>'05_Daily_Log'!$D$22</f>
        <v/>
      </c>
      <c r="D12" s="65">
        <f>'03_Sprint_Drivers'!$C$13</f>
        <v/>
      </c>
      <c r="E12" s="43">
        <f>IF(NOT(ISNUMBER(C12)),"NO DATA",IF(C12=0,"NO DATA",IF(C12&lt;=D12,"PASS","FAIL")))</f>
        <v/>
      </c>
      <c r="F12" s="2" t="inlineStr">
        <is>
          <t>A breach needs MD sign off recorded below.</t>
        </is>
      </c>
    </row>
    <row r="13">
      <c r="B13" s="6" t="inlineStr">
        <is>
          <t>7. Days logged</t>
        </is>
      </c>
      <c r="C13" s="24">
        <f>COUNT('05_Daily_Log'!$D$8:$D$21)</f>
        <v/>
      </c>
      <c r="D13" s="67" t="n">
        <v>14</v>
      </c>
      <c r="E13" s="43">
        <f>IF(NOT(ISNUMBER(C13)),"NO DATA",IF(C13&gt;=D13,"PASS","FAIL"))</f>
        <v/>
      </c>
      <c r="F13" s="2" t="inlineStr">
        <is>
          <t>A sprint that was not logged did not measure anything, whatever the sales say.</t>
        </is>
      </c>
    </row>
    <row r="15">
      <c r="B15" s="5" t="inlineStr">
        <is>
          <t>Tests passed</t>
        </is>
      </c>
      <c r="C15" s="24">
        <f>COUNTIF(E7:E13,"PASS")</f>
        <v/>
      </c>
      <c r="D15" s="73" t="n">
        <v>7</v>
      </c>
      <c r="F15" s="2" t="inlineStr">
        <is>
          <t>NO DATA means the test had nothing to judge. Before the sprint runs, most tests read NO DATA. That is correct.</t>
        </is>
      </c>
    </row>
    <row r="16">
      <c r="B16" s="5" t="inlineStr">
        <is>
          <t>Tests still reading NO DATA</t>
        </is>
      </c>
      <c r="C16" s="24">
        <f>COUNTIF(E7:E13,"NO DATA")</f>
        <v/>
      </c>
      <c r="F16" s="2" t="inlineStr">
        <is>
          <t>Must be zero on day 14. A test with no data is a measurement failure, not a neutral result.</t>
        </is>
      </c>
    </row>
    <row r="18" ht="20" customHeight="1">
      <c r="B18" s="3" t="inlineStr">
        <is>
          <t>What the result costs to scale</t>
        </is>
      </c>
      <c r="C18" s="4" t="n"/>
      <c r="D18" s="4" t="n"/>
      <c r="E18" s="4" t="n"/>
      <c r="F18" s="4" t="n"/>
    </row>
    <row r="19" ht="26" customHeight="1">
      <c r="B19" s="11" t="inlineStr">
        <is>
          <t>Measure</t>
        </is>
      </c>
      <c r="C19" s="11" t="inlineStr">
        <is>
          <t>Value</t>
        </is>
      </c>
      <c r="D19" s="11" t="inlineStr"/>
      <c r="E19" s="11" t="inlineStr"/>
      <c r="F19" s="11" t="inlineStr">
        <is>
          <t>Note</t>
        </is>
      </c>
    </row>
    <row r="20">
      <c r="B20" s="6" t="inlineStr">
        <is>
          <t>Sales still needed after this sprint</t>
        </is>
      </c>
      <c r="C20" s="24">
        <f>('03_Sprint_Drivers'!$C$39-'05_Daily_Log'!$L$22)</f>
        <v/>
      </c>
      <c r="F20" s="2" t="inlineStr">
        <is>
          <t>Against the 40 000 target.</t>
        </is>
      </c>
    </row>
    <row r="21">
      <c r="B21" s="6" t="inlineStr">
        <is>
          <t>Cost to buy them at the blended rate achieved</t>
        </is>
      </c>
      <c r="C21" s="36">
        <f>('03_Sprint_Drivers'!$C$39-'05_Daily_Log'!$L$22)*IFERROR(('05_Daily_Log'!$D$22+'07_GE2_School_Outreach'!$C$23)/'05_Daily_Log'!$L$22,0)</f>
        <v/>
      </c>
      <c r="F21" s="2" t="inlineStr">
        <is>
          <t>This is the number the MD is actually deciding on.</t>
        </is>
      </c>
    </row>
    <row r="22">
      <c r="B22" s="6" t="inlineStr">
        <is>
          <t>Cost to buy them at the target rate</t>
        </is>
      </c>
      <c r="C22" s="36">
        <f>('03_Sprint_Drivers'!$C$39-'05_Daily_Log'!$L$22)*'03_Sprint_Drivers'!$C$26</f>
        <v/>
      </c>
      <c r="F22" s="2" t="inlineStr">
        <is>
          <t>What the plan assumed.</t>
        </is>
      </c>
    </row>
    <row r="23">
      <c r="B23" s="6" t="inlineStr">
        <is>
          <t>Difference</t>
        </is>
      </c>
      <c r="C23" s="36">
        <f>('03_Sprint_Drivers'!$C$39-'05_Daily_Log'!$L$22)*IFERROR(('05_Daily_Log'!$D$22+'07_GE2_School_Outreach'!$C$23)/'05_Daily_Log'!$L$22,0)-('03_Sprint_Drivers'!$C$39-'05_Daily_Log'!$L$22)*'03_Sprint_Drivers'!$C$26</f>
        <v/>
      </c>
      <c r="F23" s="2" t="inlineStr">
        <is>
          <t>Positive means the campaign costs more than planned.</t>
        </is>
      </c>
    </row>
    <row r="24">
      <c r="B24" s="6" t="inlineStr">
        <is>
          <t>Weeks left after this sprint</t>
        </is>
      </c>
      <c r="C24" s="24">
        <f>'03_Sprint_Drivers'!$C$40-2</f>
        <v/>
      </c>
      <c r="F24" s="2" t="inlineStr">
        <is>
          <t>From 7 Sep to 30 Nov 2026.</t>
        </is>
      </c>
    </row>
    <row r="25">
      <c r="B25" s="6" t="inlineStr">
        <is>
          <t>Sales per week required from here</t>
        </is>
      </c>
      <c r="C25" s="24">
        <f>IFERROR(ROUND(('03_Sprint_Drivers'!$C$39-'05_Daily_Log'!$L$22)/('03_Sprint_Drivers'!$C$40-2),0),0)</f>
        <v/>
      </c>
      <c r="F25" s="2" t="inlineStr">
        <is>
          <t>Compare against what the sprint actually produced in two weeks.</t>
        </is>
      </c>
    </row>
    <row r="27" ht="20" customHeight="1">
      <c r="B27" s="3" t="inlineStr">
        <is>
          <t>The decision</t>
        </is>
      </c>
      <c r="C27" s="4" t="n"/>
      <c r="D27" s="4" t="n"/>
      <c r="E27" s="4" t="n"/>
      <c r="F27" s="4" t="n"/>
    </row>
    <row r="28" ht="18" customHeight="1">
      <c r="B28" s="5" t="inlineStr">
        <is>
          <t>Decision</t>
        </is>
      </c>
      <c r="C28" s="12" t="n"/>
      <c r="F28" s="2" t="inlineStr">
        <is>
          <t>RELEASE FULL BUDGET / RELEASE INTO ONE ENGINE ONLY / HOLD AND RE-TEST / RE-CUT THE TARGET</t>
        </is>
      </c>
    </row>
    <row r="29" ht="18" customHeight="1">
      <c r="B29" s="5" t="inlineStr">
        <is>
          <t>Reason</t>
        </is>
      </c>
      <c r="C29" s="12" t="n"/>
      <c r="F29" s="2" t="inlineStr">
        <is>
          <t>One or two sentences. What the evidence showed.</t>
        </is>
      </c>
    </row>
    <row r="30" ht="18" customHeight="1">
      <c r="B30" s="5" t="inlineStr">
        <is>
          <t>Budget released (R)</t>
        </is>
      </c>
      <c r="C30" s="12" t="n"/>
      <c r="F30" s="2" t="inlineStr">
        <is>
          <t>Only if the decision is a release.</t>
        </is>
      </c>
    </row>
    <row r="31" ht="18" customHeight="1">
      <c r="B31" s="5" t="inlineStr">
        <is>
          <t>Decided by</t>
        </is>
      </c>
      <c r="C31" s="12" t="n"/>
      <c r="F31" s="2" t="inlineStr"/>
    </row>
    <row r="32" ht="18" customHeight="1">
      <c r="B32" s="5" t="inlineStr">
        <is>
          <t>Date</t>
        </is>
      </c>
      <c r="C32" s="12" t="n"/>
      <c r="F32" s="2" t="inlineStr"/>
    </row>
    <row r="33" ht="18" customHeight="1">
      <c r="B33" s="5" t="inlineStr">
        <is>
          <t>Cap breach approved by</t>
        </is>
      </c>
      <c r="C33" s="12" t="n"/>
      <c r="F33" s="2" t="inlineStr">
        <is>
          <t>Leave blank if test 6 passed.</t>
        </is>
      </c>
    </row>
  </sheetData>
  <mergeCells count="6">
    <mergeCell ref="C33:E33"/>
    <mergeCell ref="C28:E28"/>
    <mergeCell ref="C31:E31"/>
    <mergeCell ref="C29:E29"/>
    <mergeCell ref="C30:E30"/>
    <mergeCell ref="C32:E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2026-08-25T10:42:02Z</dcterms:created>
  <dcterms:modified xsi:type="dcterms:W3CDTF">2026-08-25T10:42:04Z</dcterms:modified>
</cp:coreProperties>
</file>